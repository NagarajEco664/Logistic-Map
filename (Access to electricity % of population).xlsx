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B68B3DA7-0726-45A8-B767-8C827D074631}" xr6:coauthVersionLast="47" xr6:coauthVersionMax="47" xr10:uidLastSave="{00000000-0000-0000-0000-000000000000}"/>
  <bookViews>
    <workbookView xWindow="-108" yWindow="-108" windowWidth="23256" windowHeight="13176" activeTab="1" xr2:uid="{EB456D9E-6B33-4569-BDB4-094BC01C38BA}"/>
  </bookViews>
  <sheets>
    <sheet name="Data" sheetId="1" r:id="rId1"/>
    <sheet name="clean data" sheetId="7" r:id="rId2"/>
    <sheet name="Sheet1" sheetId="4" r:id="rId3"/>
    <sheet name="Sheet3" sheetId="6" r:id="rId4"/>
    <sheet name="Metadata - Countries" sheetId="2" r:id="rId5"/>
    <sheet name="Metadata - Indicators"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4" l="1" a="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2" i="4"/>
  <c r="E2" i="4" s="1"/>
  <c r="D2"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<sst xmlns="http://schemas.openxmlformats.org/spreadsheetml/2006/main" count="2063" uniqueCount="722">
  <si>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</si>
  <si>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</si>
  <si>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</si>
  <si>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</si>
  <si>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</si>
  <si>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</si>
  <si>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</si>
  <si>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</si>
  <si>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</si>
  <si>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</si>
  <si>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</si>
  <si>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</si>
  <si>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</si>
  <si>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</si>
  <si>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</si>
  <si>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</si>
  <si>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</si>
  <si>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</si>
  <si>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</si>
  <si>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</si>
  <si>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</si>
  <si>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</si>
  <si>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</si>
  <si>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</si>
  <si>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</si>
  <si>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</si>
  <si>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</si>
  <si>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</si>
  <si>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</si>
  <si>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</si>
  <si>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</si>
  <si>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</si>
  <si>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2021</t>
  </si>
  <si>
    <t>Senegal</t>
  </si>
  <si>
    <t>For FY27 (July 1, 2026–June 30, 2027), income groups are defined using 2025 GNI per capita (Atlas method): low income (LIC) ($1,175 or less); lower middle income (LMC) ($1,176–$4,635); upper middle income (UMC) ($4,636–$14,375); and high income (HIC) (above $14,375).
“Low- and middle-income (LMY)” economies include low-, lower middle-, and upper middle-income groups, while “middle-income (MIC)” economies include lower middle- and upper middle-income groups.</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</si>
  <si>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</si>
  <si>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</si>
  <si>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</si>
  <si>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</si>
  <si>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</si>
  <si>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</si>
  <si>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</si>
  <si>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</si>
  <si>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</si>
  <si>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</si>
  <si>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</si>
  <si>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</si>
  <si>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</si>
  <si>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</si>
  <si>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</si>
  <si>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</si>
  <si>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</si>
  <si>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</si>
  <si>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</si>
  <si>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</si>
  <si>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</si>
  <si>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</si>
  <si>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</si>
  <si>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</si>
  <si>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</si>
  <si>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</si>
  <si>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</si>
  <si>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</si>
  <si>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</si>
  <si>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</si>
  <si>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</si>
  <si>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</si>
  <si>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</si>
  <si>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</si>
  <si>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</si>
  <si>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</si>
  <si>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</si>
  <si>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</si>
  <si>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</si>
  <si>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</si>
  <si>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</si>
  <si>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</si>
  <si>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</si>
  <si>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</si>
  <si>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</si>
  <si>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</si>
  <si>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</si>
  <si>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</si>
  <si>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</si>
  <si>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</si>
  <si>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</si>
  <si>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</si>
  <si>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</si>
  <si>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</si>
  <si>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</si>
  <si>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Cuba</t>
  </si>
  <si>
    <t>CUW</t>
  </si>
  <si>
    <t>Solomon Islands</t>
  </si>
  <si>
    <t>ETH</t>
  </si>
  <si>
    <t>2022</t>
  </si>
  <si>
    <t>VCT</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</si>
  <si>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</si>
  <si>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</si>
  <si>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</si>
  <si>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</si>
  <si>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</si>
  <si>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</si>
  <si>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</si>
  <si>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</si>
  <si>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</si>
  <si>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</si>
  <si>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</si>
  <si>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</si>
  <si>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</si>
  <si>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</si>
  <si>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</si>
  <si>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</si>
  <si>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</si>
  <si>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</si>
  <si>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</si>
  <si>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</si>
  <si>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</si>
  <si>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</si>
  <si>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</si>
  <si>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</si>
  <si>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</si>
  <si>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</si>
  <si>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</si>
  <si>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</si>
  <si>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</si>
  <si>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</si>
  <si>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</si>
  <si>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</si>
  <si>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</si>
  <si>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</si>
  <si>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</si>
  <si>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</si>
  <si>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</si>
  <si>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</si>
  <si>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</si>
  <si>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</si>
  <si>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</si>
  <si>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</si>
  <si>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</si>
  <si>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BGR</t>
  </si>
  <si>
    <t>SYC</t>
  </si>
  <si>
    <t>Namibia</t>
  </si>
  <si>
    <t>UZB</t>
  </si>
  <si>
    <t>Ethiopia</t>
  </si>
  <si>
    <t>HPC</t>
  </si>
  <si>
    <t>UGA</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</si>
  <si>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</si>
  <si>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</si>
  <si>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</si>
  <si>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</si>
  <si>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</si>
  <si>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</si>
  <si>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</si>
  <si>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</si>
  <si>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</si>
  <si>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2019-2025. Alternative conversion factors are used in the Atlas methodology and elsewhere in World Development Indicators as single-year conversion factors.</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</si>
  <si>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</si>
  <si>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</si>
  <si>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</si>
  <si>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</si>
  <si>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</si>
  <si>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</si>
  <si>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</si>
  <si>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</si>
  <si>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</si>
  <si>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</si>
  <si>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</si>
  <si>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</si>
  <si>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</si>
  <si>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</si>
  <si>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</si>
  <si>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</si>
  <si>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</si>
  <si>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</si>
  <si>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</si>
  <si>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</si>
  <si>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</si>
  <si>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</si>
  <si>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</si>
  <si>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</si>
  <si>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</si>
  <si>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</si>
  <si>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</si>
  <si>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</si>
  <si>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</si>
  <si>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</si>
  <si>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</si>
  <si>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</si>
  <si>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</si>
  <si>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</si>
  <si>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</si>
  <si>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</si>
  <si>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</si>
  <si>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</si>
  <si>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</si>
  <si>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</si>
  <si>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</si>
  <si>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</si>
  <si>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</si>
  <si>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</si>
  <si>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</si>
  <si>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</si>
  <si>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</si>
  <si>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</si>
  <si>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</si>
  <si>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</si>
  <si>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</si>
  <si>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</si>
  <si>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1983-2025. Alternative conversion factors are used in the Atlas methodology and elsewhere in World Development Indicators as single-year conversion factors.</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</si>
  <si>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</si>
  <si>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</si>
  <si>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</si>
  <si>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</si>
  <si>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</si>
  <si>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</si>
  <si>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</si>
  <si>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</si>
  <si>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</si>
  <si>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</si>
  <si>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</si>
  <si>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</si>
  <si>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</si>
  <si>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</si>
  <si>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</si>
  <si>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</si>
  <si>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</si>
  <si>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</si>
  <si>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</si>
  <si>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</si>
  <si>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</si>
  <si>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</si>
  <si>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</si>
  <si>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</si>
  <si>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</si>
  <si>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</si>
  <si>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</si>
  <si>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</si>
  <si>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</si>
  <si>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</si>
  <si>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</si>
  <si>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</si>
  <si>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</si>
  <si>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</si>
  <si>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</si>
  <si>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</si>
  <si>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</si>
  <si>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</si>
  <si>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</si>
  <si>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</si>
  <si>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</si>
  <si>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</si>
  <si>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</si>
  <si>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</si>
  <si>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</si>
  <si>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</si>
  <si>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</si>
  <si>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</si>
  <si>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</si>
  <si>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</si>
  <si>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</si>
  <si>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</si>
  <si>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</si>
  <si>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</si>
  <si>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</si>
  <si>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</si>
  <si>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</si>
  <si>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</si>
  <si>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</si>
  <si>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</si>
  <si>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</si>
  <si>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</si>
  <si>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</si>
  <si>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</si>
  <si>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</si>
  <si>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</si>
  <si>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</si>
  <si>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</si>
  <si>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</si>
  <si>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</si>
  <si>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</si>
  <si>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</si>
  <si>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</si>
  <si>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</si>
  <si>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</si>
  <si>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</si>
  <si>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</si>
  <si>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</si>
  <si>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</si>
  <si>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</si>
  <si>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</si>
  <si>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</si>
  <si>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</si>
  <si>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</si>
  <si>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</si>
  <si>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</si>
  <si>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</si>
  <si>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Access to electricity is the percentage of population with access to electricity. Electrification data are collected from industry, national surveys and international sources.</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</si>
  <si>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</si>
  <si>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</si>
  <si>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</si>
  <si>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</si>
  <si>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</si>
  <si>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</si>
  <si>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</si>
  <si>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</si>
  <si>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</si>
  <si>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</si>
  <si>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</si>
  <si>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</si>
  <si>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2011-2025. Alternative conversion factors are used in the Atlas methodology and elsewhere in World Development Indicators as single-year conversion factors.</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</si>
  <si>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</si>
  <si>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</si>
  <si>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A simple multiplier is used to convert the national currencies of EMU members to euros. The following irrevocable euro conversion rate entered into force on January 1, 2026: 1 euro = 1.95583 Bulgarian Lev. Please note that historical data are not actual euros and are not comparable or suitable for aggregation across countries.</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</si>
  <si>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</si>
  <si>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</si>
  <si>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</si>
  <si>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</si>
  <si>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</si>
  <si>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</si>
  <si>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</si>
  <si>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</si>
  <si>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</si>
  <si>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</si>
  <si>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</si>
  <si>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</si>
  <si>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</si>
  <si>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</si>
  <si>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</si>
  <si>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</si>
  <si>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</si>
  <si>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</si>
  <si>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</si>
  <si>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</si>
  <si>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</si>
  <si>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</si>
  <si>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</si>
  <si>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</si>
  <si>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</si>
  <si>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</si>
  <si>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</si>
  <si>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</si>
  <si>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</si>
  <si>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</si>
  <si>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</si>
  <si>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</si>
  <si>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</si>
  <si>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</si>
  <si>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</si>
  <si>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</si>
  <si>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</si>
  <si>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</si>
  <si>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</si>
  <si>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</si>
  <si>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</si>
  <si>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</si>
  <si>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</si>
  <si>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</si>
  <si>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</si>
  <si>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</si>
  <si>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</si>
  <si>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</si>
  <si>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</si>
  <si>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</si>
  <si>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</si>
  <si>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</si>
  <si>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</si>
  <si>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</si>
  <si>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</si>
  <si>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</si>
  <si>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</si>
  <si>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</si>
  <si>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</si>
  <si>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</si>
  <si>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</si>
  <si>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</si>
  <si>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</si>
  <si>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</si>
  <si>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</si>
  <si>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</si>
  <si>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</si>
  <si>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</si>
  <si>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</si>
  <si>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</si>
  <si>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</si>
  <si>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</si>
  <si>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</si>
  <si>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</si>
  <si>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</si>
  <si>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</si>
  <si>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</si>
  <si>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</si>
  <si>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</si>
  <si>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</si>
  <si>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</si>
  <si>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</si>
  <si>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</si>
  <si>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</si>
  <si>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</si>
  <si>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</si>
  <si>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</si>
  <si>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</si>
  <si>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</si>
  <si>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</si>
  <si>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</si>
  <si>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</si>
  <si>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</si>
  <si>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</si>
  <si>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</si>
  <si>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</si>
  <si>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</si>
  <si>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</si>
  <si>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</si>
  <si>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</si>
  <si>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</si>
  <si>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</si>
  <si>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</si>
  <si>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</si>
  <si>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</si>
  <si>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</si>
  <si>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</si>
  <si>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</si>
  <si>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</si>
  <si>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</si>
  <si>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</si>
  <si>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Due to the limitations of the Atlas method in classifying countries experiencing persistent high inflation, this economy remains classified as upper-middle-income.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</si>
  <si>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</si>
  <si>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</si>
  <si>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</si>
  <si>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</si>
  <si>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</si>
  <si>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</si>
  <si>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</si>
  <si>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</si>
  <si>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</si>
  <si>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</si>
  <si>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</si>
  <si>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</si>
  <si>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</si>
  <si>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</si>
  <si>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</si>
  <si>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</si>
  <si>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</si>
  <si>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</si>
  <si>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</si>
  <si>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</si>
  <si>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</si>
  <si>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</si>
  <si>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</si>
  <si>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</si>
  <si>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</si>
  <si>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1984-2025. Alternative conversion factors are used in the Atlas methodology and elsewhere in World Development Indicators as single-year conversion factors.</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</si>
  <si>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</si>
  <si>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</si>
  <si>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</si>
  <si>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</si>
  <si>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</si>
  <si>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</si>
  <si>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</si>
  <si>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</si>
  <si>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</si>
  <si>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</si>
  <si>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</si>
  <si>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</si>
  <si>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</si>
  <si>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</si>
  <si>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</si>
  <si>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</si>
  <si>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</si>
  <si>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</si>
  <si>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</si>
  <si>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</si>
  <si>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</si>
  <si>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</si>
  <si>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</si>
  <si>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</si>
  <si>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</si>
  <si>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</si>
  <si>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</si>
  <si>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</si>
  <si>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</si>
  <si>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</si>
  <si>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</si>
  <si>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</si>
  <si>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</si>
  <si>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</si>
  <si>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</si>
  <si>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</si>
  <si>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</si>
  <si>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</si>
  <si>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</si>
  <si>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</si>
  <si>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</si>
  <si>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</si>
  <si>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</si>
  <si>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</si>
  <si>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</si>
  <si>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</si>
  <si>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</si>
  <si>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</si>
  <si>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</si>
  <si>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</si>
  <si>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</si>
  <si>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</si>
  <si>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</si>
  <si>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</si>
  <si>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</si>
  <si>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</si>
  <si>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</si>
  <si>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</si>
  <si>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</si>
  <si>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</si>
  <si>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</si>
  <si>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</si>
  <si>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</si>
  <si>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</si>
  <si>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</si>
  <si>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</si>
  <si>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</si>
  <si>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</si>
  <si>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Access to electricity (% of population)</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</si>
  <si>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</si>
  <si>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</si>
  <si>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</si>
  <si>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</si>
  <si>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</si>
  <si>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</si>
  <si>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</si>
  <si>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</si>
  <si>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</si>
  <si>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</si>
  <si>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</si>
  <si>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</si>
  <si>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</si>
  <si>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</si>
  <si>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</si>
  <si>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</si>
  <si>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</si>
  <si>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</si>
  <si>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</si>
  <si>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</si>
  <si>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</si>
  <si>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</si>
  <si>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</si>
  <si>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</si>
  <si>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</si>
  <si>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</si>
  <si>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</si>
  <si>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</si>
  <si>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</si>
  <si>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</si>
  <si>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</si>
  <si>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</si>
  <si>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</si>
  <si>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</si>
  <si>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</si>
  <si>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</si>
  <si>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</si>
  <si>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</si>
  <si>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</si>
  <si>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</si>
  <si>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</si>
  <si>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</si>
  <si>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</si>
  <si>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</si>
  <si>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</si>
  <si>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</si>
  <si>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</si>
  <si>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</si>
  <si>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</si>
  <si>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</si>
  <si>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</si>
  <si>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</si>
  <si>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</si>
  <si>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1994-2025. Alternative conversion factors are used in the Atlas methodology and elsewhere in World Development Indicators as single-year conversion factors.</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</si>
  <si>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</si>
  <si>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</si>
  <si>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</si>
  <si>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</si>
  <si>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</si>
  <si>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</si>
  <si>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</si>
  <si>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</si>
  <si>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</si>
  <si>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</si>
  <si>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</si>
  <si>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</si>
  <si>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</si>
  <si>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</si>
  <si>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</si>
  <si>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</si>
  <si>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</si>
  <si>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Naoero</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</si>
  <si>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</si>
  <si>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</si>
  <si>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</si>
  <si>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</si>
  <si>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</si>
  <si>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</si>
  <si>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</si>
  <si>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</si>
  <si>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</si>
  <si>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</si>
  <si>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</si>
  <si>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</si>
  <si>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</si>
  <si>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</si>
  <si>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</si>
  <si>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</si>
  <si>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General Government final consumption expenditure includes Non-Profit Institutions Serving Households final concumption expenditure</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</si>
  <si>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</si>
  <si>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</si>
  <si>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</si>
  <si>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</si>
  <si>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</si>
  <si>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</si>
  <si>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</si>
  <si>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</si>
  <si>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</si>
  <si>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</si>
  <si>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</si>
  <si>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</si>
  <si>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</si>
  <si>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</si>
  <si>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</si>
  <si>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</si>
  <si>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</si>
  <si>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</si>
  <si>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</si>
  <si>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</si>
  <si>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</si>
  <si>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</si>
  <si>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</si>
  <si>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</si>
  <si>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</si>
  <si>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</si>
  <si>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</si>
  <si>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</si>
  <si>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</si>
  <si>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</si>
  <si>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</si>
  <si>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</si>
  <si>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</si>
  <si>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</si>
  <si>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</si>
  <si>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</si>
  <si>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</si>
  <si>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</si>
  <si>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</si>
  <si>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</si>
  <si>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</si>
  <si>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</si>
  <si>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Due to the limitations of the Atlas method in classifying countries experiencing persistent high inflation, this economy remains classified as upper-middle-income.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</si>
  <si>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LKA</t>
  </si>
  <si>
    <t>Cote d'Ivoire</t>
  </si>
  <si>
    <t>Algeria</t>
  </si>
  <si>
    <t>Dominica</t>
  </si>
  <si>
    <t>Greece</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</si>
  <si>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</si>
  <si>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</si>
  <si>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</si>
  <si>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</si>
  <si>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</si>
  <si>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</si>
  <si>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</si>
  <si>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</si>
  <si>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</si>
  <si>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</si>
  <si>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</si>
  <si>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</si>
  <si>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</si>
  <si>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</si>
  <si>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</si>
  <si>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</si>
  <si>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</si>
  <si>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</si>
  <si>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</si>
  <si>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</si>
  <si>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</si>
  <si>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</si>
  <si>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</si>
  <si>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</si>
  <si>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</si>
  <si>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1972-2025. Alternative conversion factors are used in the Atlas methodology and elsewhere in World Development Indicators as single-year conversion factors.</t>
  </si>
  <si>
    <t>2020</t>
  </si>
  <si>
    <t>Country Name</t>
  </si>
  <si>
    <t>NPL</t>
  </si>
  <si>
    <t>EG.ELC.ACCS.ZS</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</si>
  <si>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</si>
  <si>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</si>
  <si>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</si>
  <si>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</si>
  <si>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</si>
  <si>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</si>
  <si>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</si>
  <si>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</si>
  <si>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</si>
  <si>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</si>
  <si>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</si>
  <si>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</si>
  <si>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</si>
  <si>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</si>
  <si>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</si>
  <si>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</si>
  <si>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</si>
  <si>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</si>
  <si>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year</t>
  </si>
  <si>
    <t>Access_electricity</t>
  </si>
  <si>
    <t>x_t</t>
  </si>
  <si>
    <t>x_t1</t>
  </si>
  <si>
    <t>x_t_term</t>
  </si>
  <si>
    <t>Slope_r</t>
  </si>
  <si>
    <t>Intercept</t>
  </si>
  <si>
    <t>3.27537926812281 (r_parameter)</t>
  </si>
  <si>
    <t>0.482751915245177 SE_r</t>
  </si>
  <si>
    <t>0.605437728562688 R_squared</t>
  </si>
  <si>
    <t>46.0336255433545 F_stat</t>
  </si>
  <si>
    <t>11.3420810987143 SS_reg</t>
  </si>
  <si>
    <t>0 const_intercept</t>
  </si>
  <si>
    <t>#N/A SE_intercept</t>
  </si>
  <si>
    <t>0.49637372417142 SE_regression</t>
  </si>
  <si>
    <t>30 df</t>
  </si>
  <si>
    <t>7.39160622143415 SS_resid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</si>
</sst>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75C3-1427-4AD6-83FE-463ABB4F7252}">
  <dimension ref="A1:AM266"/>
  <sheetViews>
    <sheetView topLeftCell="AI94" workbookViewId="0">
      <selection activeCell="A110" sqref="A110:IV110"/>
    </sheetView>
  </sheetViews>
  <sheetFormatPr defaultRowHeight="14.4" x14ac:dyDescent="0.3"/>
  <cols>
    <col min="1" max="1" width="60.109375" bestFit="1" customWidth="1"/>
    <col min="2" max="2" width="25.6640625" bestFit="1" customWidth="1"/>
    <col min="3" max="3" width="31.109375" bestFit="1" customWidth="1"/>
    <col min="4" max="38" width="11.44140625" bestFit="1" customWidth="1"/>
    <col min="39" max="39" width="5" bestFit="1" customWidth="1"/>
  </cols>
  <sheetData>
    <row r="1" spans="1:39" x14ac:dyDescent="0.3">
      <c r="A1" t="s">
        <v>684</v>
      </c>
      <c r="B1" t="s">
        <v>457</v>
      </c>
      <c r="C1" t="s">
        <v>206</v>
      </c>
      <c r="D1" t="s">
        <v>134</v>
      </c>
      <c r="E1" t="s">
        <v>183</v>
      </c>
      <c r="F1" t="s">
        <v>249</v>
      </c>
      <c r="G1" t="s">
        <v>306</v>
      </c>
      <c r="H1" t="s">
        <v>527</v>
      </c>
      <c r="I1" t="s">
        <v>578</v>
      </c>
      <c r="J1" t="s">
        <v>641</v>
      </c>
      <c r="K1" t="s">
        <v>692</v>
      </c>
      <c r="L1" t="s">
        <v>189</v>
      </c>
      <c r="M1" t="s">
        <v>255</v>
      </c>
      <c r="N1" t="s">
        <v>548</v>
      </c>
      <c r="O1" t="s">
        <v>600</v>
      </c>
      <c r="P1" t="s">
        <v>97</v>
      </c>
      <c r="Q1" t="s">
        <v>157</v>
      </c>
      <c r="R1" t="s">
        <v>212</v>
      </c>
      <c r="S1" t="s">
        <v>281</v>
      </c>
      <c r="T1" t="s">
        <v>493</v>
      </c>
      <c r="U1" t="s">
        <v>553</v>
      </c>
      <c r="V1" t="s">
        <v>606</v>
      </c>
      <c r="W1" t="s">
        <v>100</v>
      </c>
      <c r="X1" t="s">
        <v>614</v>
      </c>
      <c r="Y1" t="s">
        <v>665</v>
      </c>
      <c r="Z1" t="s">
        <v>18</v>
      </c>
      <c r="AA1" t="s">
        <v>228</v>
      </c>
      <c r="AB1" t="s">
        <v>292</v>
      </c>
      <c r="AC1" t="s">
        <v>343</v>
      </c>
      <c r="AD1" t="s">
        <v>398</v>
      </c>
      <c r="AE1" t="s">
        <v>619</v>
      </c>
      <c r="AF1" t="s">
        <v>669</v>
      </c>
      <c r="AG1" t="s">
        <v>22</v>
      </c>
      <c r="AH1" t="s">
        <v>683</v>
      </c>
      <c r="AI1" t="s">
        <v>32</v>
      </c>
      <c r="AJ1" t="s">
        <v>94</v>
      </c>
      <c r="AK1" t="s">
        <v>154</v>
      </c>
      <c r="AL1" t="s">
        <v>357</v>
      </c>
      <c r="AM1" t="s">
        <v>410</v>
      </c>
    </row>
    <row r="2" spans="1:39" x14ac:dyDescent="0.3">
      <c r="A2" t="s">
        <v>499</v>
      </c>
      <c r="B2" t="s">
        <v>12</v>
      </c>
      <c r="C2" t="s">
        <v>519</v>
      </c>
      <c r="D2">
        <v>100</v>
      </c>
      <c r="E2">
        <v>99.153656005859403</v>
      </c>
      <c r="F2">
        <v>99.197128295898395</v>
      </c>
      <c r="G2">
        <v>99.239913940429702</v>
      </c>
      <c r="H2">
        <v>100</v>
      </c>
      <c r="I2">
        <v>100</v>
      </c>
      <c r="J2">
        <v>100</v>
      </c>
      <c r="K2">
        <v>100</v>
      </c>
      <c r="L2">
        <v>100</v>
      </c>
      <c r="M2">
        <v>100</v>
      </c>
      <c r="N2">
        <v>91.7</v>
      </c>
      <c r="O2">
        <v>100</v>
      </c>
      <c r="P2">
        <v>100</v>
      </c>
      <c r="Q2">
        <v>100</v>
      </c>
      <c r="R2">
        <v>100</v>
      </c>
      <c r="S2">
        <v>100</v>
      </c>
      <c r="T2">
        <v>100</v>
      </c>
      <c r="U2">
        <v>100</v>
      </c>
      <c r="V2">
        <v>100</v>
      </c>
      <c r="W2">
        <v>100</v>
      </c>
      <c r="X2">
        <v>93.4</v>
      </c>
      <c r="Y2">
        <v>100</v>
      </c>
      <c r="Z2">
        <v>100</v>
      </c>
      <c r="AA2">
        <v>100</v>
      </c>
      <c r="AB2">
        <v>100</v>
      </c>
      <c r="AC2">
        <v>100</v>
      </c>
      <c r="AD2">
        <v>100</v>
      </c>
      <c r="AE2">
        <v>100</v>
      </c>
      <c r="AF2">
        <v>100</v>
      </c>
      <c r="AG2">
        <v>100</v>
      </c>
      <c r="AH2">
        <v>100</v>
      </c>
      <c r="AI2">
        <v>100</v>
      </c>
      <c r="AJ2">
        <v>99.9</v>
      </c>
      <c r="AK2">
        <v>100</v>
      </c>
      <c r="AL2">
        <v>100</v>
      </c>
    </row>
    <row r="3" spans="1:39" x14ac:dyDescent="0.3">
      <c r="A3" t="s">
        <v>512</v>
      </c>
      <c r="B3" t="s">
        <v>481</v>
      </c>
      <c r="C3" t="s">
        <v>519</v>
      </c>
      <c r="N3">
        <v>19.917256334288883</v>
      </c>
      <c r="O3">
        <v>19.944277420358318</v>
      </c>
      <c r="P3">
        <v>21.548646615562468</v>
      </c>
      <c r="Q3">
        <v>22.493216718205151</v>
      </c>
      <c r="R3">
        <v>23.724454932615046</v>
      </c>
      <c r="S3">
        <v>23.44953935560601</v>
      </c>
      <c r="T3">
        <v>25.172482310596866</v>
      </c>
      <c r="U3">
        <v>26.7951445862147</v>
      </c>
      <c r="V3">
        <v>25.90884513444572</v>
      </c>
      <c r="W3">
        <v>26.187846478111133</v>
      </c>
      <c r="X3">
        <v>27.414953756331968</v>
      </c>
      <c r="Y3">
        <v>28.909756234126966</v>
      </c>
      <c r="Z3">
        <v>31.673427461917541</v>
      </c>
      <c r="AA3">
        <v>31.723573573148343</v>
      </c>
      <c r="AB3">
        <v>31.871956128357937</v>
      </c>
      <c r="AC3">
        <v>33.922275662275759</v>
      </c>
      <c r="AD3">
        <v>38.859597658371428</v>
      </c>
      <c r="AE3">
        <v>40.223744173036771</v>
      </c>
      <c r="AF3">
        <v>43.035073350783549</v>
      </c>
      <c r="AG3">
        <v>44.390860533363941</v>
      </c>
      <c r="AH3">
        <v>46.28237094556367</v>
      </c>
      <c r="AI3">
        <v>48.127211040048458</v>
      </c>
      <c r="AJ3">
        <v>48.742042937517688</v>
      </c>
      <c r="AK3">
        <v>50.667515794485425</v>
      </c>
      <c r="AL3">
        <v>52.598170516358906</v>
      </c>
    </row>
    <row r="4" spans="1:39" x14ac:dyDescent="0.3">
      <c r="A4" t="s">
        <v>308</v>
      </c>
      <c r="B4" t="s">
        <v>597</v>
      </c>
      <c r="C4" t="s">
        <v>519</v>
      </c>
      <c r="N4">
        <v>4.4000000000000004</v>
      </c>
      <c r="O4">
        <v>9.3000000000000007</v>
      </c>
      <c r="P4">
        <v>14.1</v>
      </c>
      <c r="Q4">
        <v>19</v>
      </c>
      <c r="R4">
        <v>23.8</v>
      </c>
      <c r="S4">
        <v>28.7</v>
      </c>
      <c r="T4">
        <v>33.5</v>
      </c>
      <c r="U4">
        <v>38.4</v>
      </c>
      <c r="V4">
        <v>42.4</v>
      </c>
      <c r="W4">
        <v>48.3</v>
      </c>
      <c r="X4">
        <v>42.7</v>
      </c>
      <c r="Y4">
        <v>43.2</v>
      </c>
      <c r="Z4">
        <v>69.099999999999994</v>
      </c>
      <c r="AA4">
        <v>68</v>
      </c>
      <c r="AB4">
        <v>89.5</v>
      </c>
      <c r="AC4">
        <v>71.5</v>
      </c>
      <c r="AD4">
        <v>97.7</v>
      </c>
      <c r="AE4">
        <v>97.7</v>
      </c>
      <c r="AF4">
        <v>93.4</v>
      </c>
      <c r="AG4">
        <v>97.7</v>
      </c>
      <c r="AH4">
        <v>97.7</v>
      </c>
      <c r="AI4">
        <v>97.7</v>
      </c>
      <c r="AJ4">
        <v>85.3</v>
      </c>
      <c r="AK4">
        <v>85.3</v>
      </c>
      <c r="AL4">
        <v>87.8</v>
      </c>
    </row>
    <row r="5" spans="1:39" x14ac:dyDescent="0.3">
      <c r="A5" t="s">
        <v>670</v>
      </c>
      <c r="B5" t="s">
        <v>161</v>
      </c>
      <c r="C5" t="s">
        <v>519</v>
      </c>
      <c r="G5">
        <v>31.653468572507776</v>
      </c>
      <c r="H5">
        <v>32.692207634414522</v>
      </c>
      <c r="I5">
        <v>33.69483534317942</v>
      </c>
      <c r="J5">
        <v>32.697394583453772</v>
      </c>
      <c r="K5">
        <v>32.523919754434345</v>
      </c>
      <c r="L5">
        <v>33.537369196352188</v>
      </c>
      <c r="M5">
        <v>34.91895108606483</v>
      </c>
      <c r="N5">
        <v>34.26883746106428</v>
      </c>
      <c r="O5">
        <v>35.344367061407937</v>
      </c>
      <c r="P5">
        <v>35.828607725291924</v>
      </c>
      <c r="Q5">
        <v>39.983090663044763</v>
      </c>
      <c r="R5">
        <v>37.611967541535506</v>
      </c>
      <c r="S5">
        <v>37.944506387322292</v>
      </c>
      <c r="T5">
        <v>39.969425653793962</v>
      </c>
      <c r="U5">
        <v>40.879148378491905</v>
      </c>
      <c r="V5">
        <v>41.878669780820289</v>
      </c>
      <c r="W5">
        <v>42.012359550034802</v>
      </c>
      <c r="X5">
        <v>41.96445530341974</v>
      </c>
      <c r="Y5">
        <v>46.069034424859517</v>
      </c>
      <c r="Z5">
        <v>44.192407540179474</v>
      </c>
      <c r="AA5">
        <v>47.202123492258238</v>
      </c>
      <c r="AB5">
        <v>47.770080726154426</v>
      </c>
      <c r="AC5">
        <v>46.865482628435977</v>
      </c>
      <c r="AD5">
        <v>51.05163555353041</v>
      </c>
      <c r="AE5">
        <v>48.902227563243002</v>
      </c>
      <c r="AF5">
        <v>51.338198511277064</v>
      </c>
      <c r="AG5">
        <v>51.28937404802155</v>
      </c>
      <c r="AH5">
        <v>51.85186621096134</v>
      </c>
      <c r="AI5">
        <v>54.366012099902257</v>
      </c>
      <c r="AJ5">
        <v>55.585593692830635</v>
      </c>
      <c r="AK5">
        <v>57.064737468074654</v>
      </c>
      <c r="AL5">
        <v>58.822166224808832</v>
      </c>
    </row>
    <row r="6" spans="1:39" x14ac:dyDescent="0.3">
      <c r="A6" t="s">
        <v>299</v>
      </c>
      <c r="B6" t="s">
        <v>17</v>
      </c>
      <c r="C6" t="s">
        <v>519</v>
      </c>
      <c r="N6">
        <v>24.2</v>
      </c>
      <c r="O6">
        <v>20</v>
      </c>
      <c r="P6">
        <v>26.3</v>
      </c>
      <c r="Q6">
        <v>27.4</v>
      </c>
      <c r="R6">
        <v>28.4</v>
      </c>
      <c r="S6">
        <v>29.4</v>
      </c>
      <c r="T6">
        <v>30.5</v>
      </c>
      <c r="U6">
        <v>37.5</v>
      </c>
      <c r="V6">
        <v>38.5</v>
      </c>
      <c r="W6">
        <v>33.799999999999997</v>
      </c>
      <c r="X6">
        <v>35</v>
      </c>
      <c r="Y6">
        <v>34.6</v>
      </c>
      <c r="Z6">
        <v>37.299999999999997</v>
      </c>
      <c r="AA6">
        <v>38.4</v>
      </c>
      <c r="AB6">
        <v>32</v>
      </c>
      <c r="AC6">
        <v>42</v>
      </c>
      <c r="AD6">
        <v>41.8</v>
      </c>
      <c r="AE6">
        <v>42.9</v>
      </c>
      <c r="AF6">
        <v>45.3</v>
      </c>
      <c r="AG6">
        <v>45.6</v>
      </c>
      <c r="AH6">
        <v>47</v>
      </c>
      <c r="AI6">
        <v>48.2</v>
      </c>
      <c r="AJ6">
        <v>48.5</v>
      </c>
      <c r="AK6">
        <v>51.1</v>
      </c>
      <c r="AL6">
        <v>55.5</v>
      </c>
    </row>
    <row r="7" spans="1:39" x14ac:dyDescent="0.3">
      <c r="A7" t="s">
        <v>186</v>
      </c>
      <c r="B7" t="s">
        <v>432</v>
      </c>
      <c r="C7" t="s">
        <v>519</v>
      </c>
      <c r="D7">
        <v>100</v>
      </c>
      <c r="E7">
        <v>100</v>
      </c>
      <c r="F7">
        <v>100</v>
      </c>
      <c r="G7">
        <v>100</v>
      </c>
      <c r="H7">
        <v>100</v>
      </c>
      <c r="I7">
        <v>100</v>
      </c>
      <c r="J7">
        <v>100</v>
      </c>
      <c r="K7">
        <v>100</v>
      </c>
      <c r="L7">
        <v>100</v>
      </c>
      <c r="M7">
        <v>100</v>
      </c>
      <c r="N7">
        <v>99.4</v>
      </c>
      <c r="O7">
        <v>99.4</v>
      </c>
      <c r="P7">
        <v>99.4</v>
      </c>
      <c r="Q7">
        <v>99.4</v>
      </c>
      <c r="R7">
        <v>99.4</v>
      </c>
      <c r="S7">
        <v>99.4</v>
      </c>
      <c r="T7">
        <v>99.4</v>
      </c>
      <c r="U7">
        <v>99.4</v>
      </c>
      <c r="V7">
        <v>100</v>
      </c>
      <c r="W7">
        <v>99.6</v>
      </c>
      <c r="X7">
        <v>99.6</v>
      </c>
      <c r="Y7">
        <v>99.7</v>
      </c>
      <c r="Z7">
        <v>99.9</v>
      </c>
      <c r="AA7">
        <v>99.9</v>
      </c>
      <c r="AB7">
        <v>100</v>
      </c>
      <c r="AC7">
        <v>100</v>
      </c>
      <c r="AD7">
        <v>99.9</v>
      </c>
      <c r="AE7">
        <v>99.9</v>
      </c>
      <c r="AF7">
        <v>100</v>
      </c>
      <c r="AG7">
        <v>100</v>
      </c>
      <c r="AH7">
        <v>100</v>
      </c>
      <c r="AI7">
        <v>100</v>
      </c>
      <c r="AJ7">
        <v>100</v>
      </c>
      <c r="AK7">
        <v>100</v>
      </c>
      <c r="AL7">
        <v>100</v>
      </c>
    </row>
    <row r="8" spans="1:39" x14ac:dyDescent="0.3">
      <c r="A8" t="s">
        <v>325</v>
      </c>
      <c r="B8" t="s">
        <v>700</v>
      </c>
      <c r="C8" t="s">
        <v>519</v>
      </c>
      <c r="D8">
        <v>100</v>
      </c>
      <c r="E8">
        <v>100</v>
      </c>
      <c r="F8">
        <v>100</v>
      </c>
      <c r="G8">
        <v>100</v>
      </c>
      <c r="H8">
        <v>100</v>
      </c>
      <c r="I8">
        <v>100</v>
      </c>
      <c r="J8">
        <v>100</v>
      </c>
      <c r="K8">
        <v>100</v>
      </c>
      <c r="L8">
        <v>100</v>
      </c>
      <c r="M8">
        <v>100</v>
      </c>
      <c r="N8">
        <v>100</v>
      </c>
      <c r="O8">
        <v>100</v>
      </c>
      <c r="P8">
        <v>100</v>
      </c>
      <c r="Q8">
        <v>100</v>
      </c>
      <c r="R8">
        <v>100</v>
      </c>
      <c r="S8">
        <v>100</v>
      </c>
      <c r="T8">
        <v>100</v>
      </c>
      <c r="U8">
        <v>100</v>
      </c>
      <c r="V8">
        <v>100</v>
      </c>
      <c r="W8">
        <v>100</v>
      </c>
      <c r="X8">
        <v>100</v>
      </c>
      <c r="Y8">
        <v>100</v>
      </c>
      <c r="Z8">
        <v>100</v>
      </c>
      <c r="AA8">
        <v>100</v>
      </c>
      <c r="AB8">
        <v>100</v>
      </c>
      <c r="AC8">
        <v>100</v>
      </c>
      <c r="AD8">
        <v>100</v>
      </c>
      <c r="AE8">
        <v>100</v>
      </c>
      <c r="AF8">
        <v>100</v>
      </c>
      <c r="AG8">
        <v>100</v>
      </c>
      <c r="AH8">
        <v>100</v>
      </c>
      <c r="AI8">
        <v>100</v>
      </c>
      <c r="AJ8">
        <v>100</v>
      </c>
      <c r="AK8">
        <v>100</v>
      </c>
      <c r="AL8">
        <v>100</v>
      </c>
    </row>
    <row r="9" spans="1:39" x14ac:dyDescent="0.3">
      <c r="A9" t="s">
        <v>105</v>
      </c>
      <c r="B9" t="s">
        <v>586</v>
      </c>
      <c r="C9" t="s">
        <v>519</v>
      </c>
      <c r="K9">
        <v>76.611776614889266</v>
      </c>
      <c r="L9">
        <v>77.541255285307798</v>
      </c>
      <c r="M9">
        <v>78.156404336406339</v>
      </c>
      <c r="N9">
        <v>80.458667256682816</v>
      </c>
      <c r="O9">
        <v>81.354794265930394</v>
      </c>
      <c r="P9">
        <v>81.323622346781988</v>
      </c>
      <c r="Q9">
        <v>82.342221901358613</v>
      </c>
      <c r="R9">
        <v>82.279524953886835</v>
      </c>
      <c r="S9">
        <v>83.076767448509983</v>
      </c>
      <c r="T9">
        <v>85.284393716494165</v>
      </c>
      <c r="U9">
        <v>83.626763804602277</v>
      </c>
      <c r="V9">
        <v>83.275564160633735</v>
      </c>
      <c r="W9">
        <v>84.159728707363868</v>
      </c>
      <c r="X9">
        <v>86.921502593511022</v>
      </c>
      <c r="Y9">
        <v>87.172694232029727</v>
      </c>
      <c r="Z9">
        <v>86.847866965140668</v>
      </c>
      <c r="AA9">
        <v>88.96162991907488</v>
      </c>
      <c r="AB9">
        <v>88.40677670856526</v>
      </c>
      <c r="AC9">
        <v>88.661643139872524</v>
      </c>
      <c r="AD9">
        <v>89.186171057282536</v>
      </c>
      <c r="AE9">
        <v>90.351066939646515</v>
      </c>
      <c r="AF9">
        <v>88.689840647226731</v>
      </c>
      <c r="AG9">
        <v>89.928996308341254</v>
      </c>
      <c r="AH9">
        <v>90.241776968580623</v>
      </c>
      <c r="AI9">
        <v>90.434094773298469</v>
      </c>
      <c r="AJ9">
        <v>90.654517907003296</v>
      </c>
      <c r="AK9">
        <v>91.645429944450925</v>
      </c>
      <c r="AL9">
        <v>92.165917992131398</v>
      </c>
    </row>
    <row r="10" spans="1:39" x14ac:dyDescent="0.3">
      <c r="A10" t="s">
        <v>43</v>
      </c>
      <c r="B10" t="s">
        <v>194</v>
      </c>
      <c r="C10" t="s">
        <v>519</v>
      </c>
      <c r="D10">
        <v>100</v>
      </c>
      <c r="E10">
        <v>100</v>
      </c>
      <c r="F10">
        <v>100</v>
      </c>
      <c r="G10">
        <v>100</v>
      </c>
      <c r="H10">
        <v>100</v>
      </c>
      <c r="I10">
        <v>100</v>
      </c>
      <c r="J10">
        <v>100</v>
      </c>
      <c r="K10">
        <v>100</v>
      </c>
      <c r="L10">
        <v>100</v>
      </c>
      <c r="M10">
        <v>100</v>
      </c>
      <c r="N10">
        <v>100</v>
      </c>
      <c r="O10">
        <v>100</v>
      </c>
      <c r="P10">
        <v>100</v>
      </c>
      <c r="Q10">
        <v>100</v>
      </c>
      <c r="R10">
        <v>100</v>
      </c>
      <c r="S10">
        <v>100</v>
      </c>
      <c r="T10">
        <v>100</v>
      </c>
      <c r="U10">
        <v>100</v>
      </c>
      <c r="V10">
        <v>100</v>
      </c>
      <c r="W10">
        <v>100</v>
      </c>
      <c r="X10">
        <v>100</v>
      </c>
      <c r="Y10">
        <v>100</v>
      </c>
      <c r="Z10">
        <v>100</v>
      </c>
      <c r="AA10">
        <v>100</v>
      </c>
      <c r="AB10">
        <v>100</v>
      </c>
      <c r="AC10">
        <v>100</v>
      </c>
      <c r="AD10">
        <v>100</v>
      </c>
      <c r="AE10">
        <v>100</v>
      </c>
      <c r="AF10">
        <v>100</v>
      </c>
      <c r="AG10">
        <v>100</v>
      </c>
      <c r="AH10">
        <v>100</v>
      </c>
      <c r="AI10">
        <v>100</v>
      </c>
      <c r="AJ10">
        <v>100</v>
      </c>
      <c r="AK10">
        <v>100</v>
      </c>
      <c r="AL10">
        <v>100</v>
      </c>
    </row>
    <row r="11" spans="1:39" x14ac:dyDescent="0.3">
      <c r="A11" t="s">
        <v>291</v>
      </c>
      <c r="B11" t="s">
        <v>470</v>
      </c>
      <c r="C11" t="s">
        <v>519</v>
      </c>
      <c r="D11">
        <v>92.154800415039105</v>
      </c>
      <c r="E11">
        <v>92.4921875</v>
      </c>
      <c r="F11">
        <v>92.829452514648395</v>
      </c>
      <c r="G11">
        <v>93.166046142578097</v>
      </c>
      <c r="H11">
        <v>93.501274108886705</v>
      </c>
      <c r="I11">
        <v>93.834465026855497</v>
      </c>
      <c r="J11">
        <v>94.164939880371094</v>
      </c>
      <c r="K11">
        <v>94.492012023925795</v>
      </c>
      <c r="L11">
        <v>94.815002441406307</v>
      </c>
      <c r="M11">
        <v>95.133155822753906</v>
      </c>
      <c r="N11">
        <v>95.7</v>
      </c>
      <c r="O11">
        <v>95.5</v>
      </c>
      <c r="P11">
        <v>96.1</v>
      </c>
      <c r="Q11">
        <v>96.3</v>
      </c>
      <c r="R11">
        <v>96.5</v>
      </c>
      <c r="S11">
        <v>96.7</v>
      </c>
      <c r="T11">
        <v>97</v>
      </c>
      <c r="U11">
        <v>97.2</v>
      </c>
      <c r="V11">
        <v>97.5</v>
      </c>
      <c r="W11">
        <v>97.8</v>
      </c>
      <c r="X11">
        <v>98.8</v>
      </c>
      <c r="Y11">
        <v>99</v>
      </c>
      <c r="Z11">
        <v>99.1</v>
      </c>
      <c r="AA11">
        <v>99.3</v>
      </c>
      <c r="AB11">
        <v>100</v>
      </c>
      <c r="AC11">
        <v>99.7</v>
      </c>
      <c r="AD11">
        <v>99.9</v>
      </c>
      <c r="AE11">
        <v>100</v>
      </c>
      <c r="AF11">
        <v>100</v>
      </c>
      <c r="AG11">
        <v>100</v>
      </c>
      <c r="AH11">
        <v>100</v>
      </c>
      <c r="AI11">
        <v>100</v>
      </c>
      <c r="AJ11">
        <v>100</v>
      </c>
      <c r="AK11">
        <v>100</v>
      </c>
      <c r="AL11">
        <v>98.4</v>
      </c>
    </row>
    <row r="12" spans="1:39" x14ac:dyDescent="0.3">
      <c r="A12" t="s">
        <v>81</v>
      </c>
      <c r="B12" t="s">
        <v>266</v>
      </c>
      <c r="C12" t="s">
        <v>519</v>
      </c>
      <c r="N12">
        <v>98.9</v>
      </c>
      <c r="O12">
        <v>100</v>
      </c>
      <c r="P12">
        <v>98</v>
      </c>
      <c r="Q12">
        <v>99.1</v>
      </c>
      <c r="R12">
        <v>99.1</v>
      </c>
      <c r="S12">
        <v>99.8</v>
      </c>
      <c r="T12">
        <v>99.1</v>
      </c>
      <c r="U12">
        <v>99.2</v>
      </c>
      <c r="V12">
        <v>99.2</v>
      </c>
      <c r="W12">
        <v>99.3</v>
      </c>
      <c r="X12">
        <v>99.8</v>
      </c>
      <c r="Y12">
        <v>99.5</v>
      </c>
      <c r="Z12">
        <v>99.5</v>
      </c>
      <c r="AA12">
        <v>99.4</v>
      </c>
      <c r="AB12">
        <v>99.7</v>
      </c>
      <c r="AC12">
        <v>100</v>
      </c>
      <c r="AD12">
        <v>99.8</v>
      </c>
      <c r="AE12">
        <v>99.7</v>
      </c>
      <c r="AF12">
        <v>99.9</v>
      </c>
      <c r="AG12">
        <v>100</v>
      </c>
      <c r="AH12">
        <v>100</v>
      </c>
      <c r="AI12">
        <v>100</v>
      </c>
      <c r="AJ12">
        <v>100</v>
      </c>
      <c r="AK12">
        <v>100</v>
      </c>
      <c r="AL12">
        <v>100</v>
      </c>
    </row>
    <row r="13" spans="1:39" x14ac:dyDescent="0.3">
      <c r="A13" t="s">
        <v>102</v>
      </c>
      <c r="B13" t="s">
        <v>333</v>
      </c>
      <c r="C13" t="s">
        <v>519</v>
      </c>
    </row>
    <row r="14" spans="1:39" x14ac:dyDescent="0.3">
      <c r="A14" t="s">
        <v>387</v>
      </c>
      <c r="B14" t="s">
        <v>469</v>
      </c>
      <c r="C14" t="s">
        <v>519</v>
      </c>
      <c r="D14">
        <v>95.763046264648395</v>
      </c>
      <c r="E14">
        <v>95.940650939941406</v>
      </c>
      <c r="F14">
        <v>96.118133544921903</v>
      </c>
      <c r="G14">
        <v>96.294944763183594</v>
      </c>
      <c r="H14">
        <v>96.470390319824205</v>
      </c>
      <c r="I14">
        <v>96.643798828125</v>
      </c>
      <c r="J14">
        <v>96.814483642578097</v>
      </c>
      <c r="K14">
        <v>96.981773376464801</v>
      </c>
      <c r="L14">
        <v>97.144981384277301</v>
      </c>
      <c r="M14">
        <v>97.303352355957003</v>
      </c>
      <c r="N14">
        <v>97.7</v>
      </c>
      <c r="O14">
        <v>97.7</v>
      </c>
      <c r="P14">
        <v>100</v>
      </c>
      <c r="Q14">
        <v>97.9</v>
      </c>
      <c r="R14">
        <v>97.9</v>
      </c>
      <c r="S14">
        <v>92.2</v>
      </c>
      <c r="T14">
        <v>100</v>
      </c>
      <c r="U14">
        <v>100</v>
      </c>
      <c r="V14">
        <v>100</v>
      </c>
      <c r="W14">
        <v>98.5</v>
      </c>
      <c r="X14">
        <v>98.7</v>
      </c>
      <c r="Y14">
        <v>94.6</v>
      </c>
      <c r="Z14">
        <v>100</v>
      </c>
      <c r="AA14">
        <v>100</v>
      </c>
      <c r="AB14">
        <v>100</v>
      </c>
      <c r="AC14">
        <v>100</v>
      </c>
      <c r="AD14">
        <v>100</v>
      </c>
      <c r="AE14">
        <v>100</v>
      </c>
      <c r="AF14">
        <v>100</v>
      </c>
      <c r="AG14">
        <v>100</v>
      </c>
      <c r="AH14">
        <v>100</v>
      </c>
      <c r="AI14">
        <v>100</v>
      </c>
      <c r="AJ14">
        <v>100</v>
      </c>
      <c r="AK14">
        <v>100</v>
      </c>
      <c r="AL14">
        <v>100</v>
      </c>
    </row>
    <row r="15" spans="1:39" x14ac:dyDescent="0.3">
      <c r="A15" t="s">
        <v>409</v>
      </c>
      <c r="B15" t="s">
        <v>282</v>
      </c>
      <c r="C15" t="s">
        <v>519</v>
      </c>
      <c r="D15">
        <v>100</v>
      </c>
      <c r="E15">
        <v>100</v>
      </c>
      <c r="F15">
        <v>100</v>
      </c>
      <c r="G15">
        <v>100</v>
      </c>
      <c r="H15">
        <v>100</v>
      </c>
      <c r="I15">
        <v>100</v>
      </c>
      <c r="J15">
        <v>100</v>
      </c>
      <c r="K15">
        <v>100</v>
      </c>
      <c r="L15">
        <v>100</v>
      </c>
      <c r="M15">
        <v>100</v>
      </c>
      <c r="N15">
        <v>100</v>
      </c>
      <c r="O15">
        <v>100</v>
      </c>
      <c r="P15">
        <v>100</v>
      </c>
      <c r="Q15">
        <v>100</v>
      </c>
      <c r="R15">
        <v>100</v>
      </c>
      <c r="S15">
        <v>100</v>
      </c>
      <c r="T15">
        <v>100</v>
      </c>
      <c r="U15">
        <v>100</v>
      </c>
      <c r="V15">
        <v>100</v>
      </c>
      <c r="W15">
        <v>100</v>
      </c>
      <c r="X15">
        <v>100</v>
      </c>
      <c r="Y15">
        <v>100</v>
      </c>
      <c r="Z15">
        <v>100</v>
      </c>
      <c r="AA15">
        <v>100</v>
      </c>
      <c r="AB15">
        <v>100</v>
      </c>
      <c r="AC15">
        <v>100</v>
      </c>
      <c r="AD15">
        <v>100</v>
      </c>
      <c r="AE15">
        <v>100</v>
      </c>
      <c r="AF15">
        <v>100</v>
      </c>
      <c r="AG15">
        <v>100</v>
      </c>
      <c r="AH15">
        <v>100</v>
      </c>
      <c r="AI15">
        <v>100</v>
      </c>
      <c r="AJ15">
        <v>100</v>
      </c>
      <c r="AK15">
        <v>100</v>
      </c>
      <c r="AL15">
        <v>100</v>
      </c>
    </row>
    <row r="16" spans="1:39" x14ac:dyDescent="0.3">
      <c r="A16" t="s">
        <v>58</v>
      </c>
      <c r="B16" t="s">
        <v>334</v>
      </c>
      <c r="C16" t="s">
        <v>519</v>
      </c>
      <c r="D16">
        <v>100</v>
      </c>
      <c r="E16">
        <v>100</v>
      </c>
      <c r="F16">
        <v>100</v>
      </c>
      <c r="G16">
        <v>100</v>
      </c>
      <c r="H16">
        <v>100</v>
      </c>
      <c r="I16">
        <v>100</v>
      </c>
      <c r="J16">
        <v>100</v>
      </c>
      <c r="K16">
        <v>100</v>
      </c>
      <c r="L16">
        <v>100</v>
      </c>
      <c r="M16">
        <v>100</v>
      </c>
      <c r="N16">
        <v>100</v>
      </c>
      <c r="O16">
        <v>100</v>
      </c>
      <c r="P16">
        <v>100</v>
      </c>
      <c r="Q16">
        <v>100</v>
      </c>
      <c r="R16">
        <v>100</v>
      </c>
      <c r="S16">
        <v>100</v>
      </c>
      <c r="T16">
        <v>100</v>
      </c>
      <c r="U16">
        <v>100</v>
      </c>
      <c r="V16">
        <v>100</v>
      </c>
      <c r="W16">
        <v>100</v>
      </c>
      <c r="X16">
        <v>100</v>
      </c>
      <c r="Y16">
        <v>100</v>
      </c>
      <c r="Z16">
        <v>100</v>
      </c>
      <c r="AA16">
        <v>100</v>
      </c>
      <c r="AB16">
        <v>100</v>
      </c>
      <c r="AC16">
        <v>100</v>
      </c>
      <c r="AD16">
        <v>100</v>
      </c>
      <c r="AE16">
        <v>100</v>
      </c>
      <c r="AF16">
        <v>100</v>
      </c>
      <c r="AG16">
        <v>100</v>
      </c>
      <c r="AH16">
        <v>100</v>
      </c>
      <c r="AI16">
        <v>100</v>
      </c>
      <c r="AJ16">
        <v>100</v>
      </c>
      <c r="AK16">
        <v>100</v>
      </c>
      <c r="AL16">
        <v>100</v>
      </c>
    </row>
    <row r="17" spans="1:38" x14ac:dyDescent="0.3">
      <c r="A17" t="s">
        <v>507</v>
      </c>
      <c r="B17" t="s">
        <v>498</v>
      </c>
      <c r="C17" t="s">
        <v>519</v>
      </c>
      <c r="M17">
        <v>97</v>
      </c>
      <c r="N17">
        <v>98.9</v>
      </c>
      <c r="O17">
        <v>98.6</v>
      </c>
      <c r="P17">
        <v>100</v>
      </c>
      <c r="Q17">
        <v>98.8</v>
      </c>
      <c r="R17">
        <v>99</v>
      </c>
      <c r="S17">
        <v>99.1</v>
      </c>
      <c r="T17">
        <v>99.5</v>
      </c>
      <c r="U17">
        <v>99.5</v>
      </c>
      <c r="V17">
        <v>99.7</v>
      </c>
      <c r="W17">
        <v>99.9</v>
      </c>
      <c r="X17">
        <v>99.9</v>
      </c>
      <c r="Y17">
        <v>99.9</v>
      </c>
      <c r="Z17">
        <v>100</v>
      </c>
      <c r="AA17">
        <v>100</v>
      </c>
      <c r="AB17">
        <v>100</v>
      </c>
      <c r="AC17">
        <v>100</v>
      </c>
      <c r="AD17">
        <v>100</v>
      </c>
      <c r="AE17">
        <v>100</v>
      </c>
      <c r="AF17">
        <v>100</v>
      </c>
      <c r="AG17">
        <v>100</v>
      </c>
      <c r="AH17">
        <v>100</v>
      </c>
      <c r="AI17">
        <v>100</v>
      </c>
      <c r="AJ17">
        <v>100</v>
      </c>
      <c r="AK17">
        <v>100</v>
      </c>
      <c r="AL17">
        <v>100</v>
      </c>
    </row>
    <row r="18" spans="1:38" x14ac:dyDescent="0.3">
      <c r="A18" t="s">
        <v>446</v>
      </c>
      <c r="B18" t="s">
        <v>518</v>
      </c>
      <c r="C18" t="s">
        <v>519</v>
      </c>
      <c r="L18">
        <v>3.9</v>
      </c>
      <c r="M18">
        <v>2.0709493160247798</v>
      </c>
      <c r="N18">
        <v>2.5</v>
      </c>
      <c r="O18">
        <v>2.8</v>
      </c>
      <c r="P18">
        <v>3.1</v>
      </c>
      <c r="Q18">
        <v>3.4</v>
      </c>
      <c r="R18">
        <v>3.7</v>
      </c>
      <c r="S18">
        <v>3.2</v>
      </c>
      <c r="T18">
        <v>2.7</v>
      </c>
      <c r="U18">
        <v>4.7</v>
      </c>
      <c r="V18">
        <v>4.8</v>
      </c>
      <c r="W18">
        <v>5.4</v>
      </c>
      <c r="X18">
        <v>5.3</v>
      </c>
      <c r="Y18">
        <v>6.2</v>
      </c>
      <c r="Z18">
        <v>6.5</v>
      </c>
      <c r="AA18">
        <v>6.9</v>
      </c>
      <c r="AB18">
        <v>7</v>
      </c>
      <c r="AC18">
        <v>7.9</v>
      </c>
      <c r="AD18">
        <v>8.5</v>
      </c>
      <c r="AE18">
        <v>9.3000000000000007</v>
      </c>
      <c r="AF18">
        <v>9.5</v>
      </c>
      <c r="AG18">
        <v>9.8000000000000007</v>
      </c>
      <c r="AH18">
        <v>9.1</v>
      </c>
      <c r="AI18">
        <v>10.199999999999999</v>
      </c>
      <c r="AJ18">
        <v>10.3</v>
      </c>
      <c r="AK18">
        <v>11.6</v>
      </c>
      <c r="AL18">
        <v>20.100000000000001</v>
      </c>
    </row>
    <row r="19" spans="1:38" x14ac:dyDescent="0.3">
      <c r="A19" t="s">
        <v>610</v>
      </c>
      <c r="B19" t="s">
        <v>45</v>
      </c>
      <c r="C19" t="s">
        <v>519</v>
      </c>
      <c r="D19">
        <v>100</v>
      </c>
      <c r="E19">
        <v>100</v>
      </c>
      <c r="F19">
        <v>100</v>
      </c>
      <c r="G19">
        <v>100</v>
      </c>
      <c r="H19">
        <v>100</v>
      </c>
      <c r="I19">
        <v>100</v>
      </c>
      <c r="J19">
        <v>100</v>
      </c>
      <c r="K19">
        <v>100</v>
      </c>
      <c r="L19">
        <v>100</v>
      </c>
      <c r="M19">
        <v>100</v>
      </c>
      <c r="N19">
        <v>100</v>
      </c>
      <c r="O19">
        <v>100</v>
      </c>
      <c r="P19">
        <v>100</v>
      </c>
      <c r="Q19">
        <v>100</v>
      </c>
      <c r="R19">
        <v>100</v>
      </c>
      <c r="S19">
        <v>100</v>
      </c>
      <c r="T19">
        <v>100</v>
      </c>
      <c r="U19">
        <v>100</v>
      </c>
      <c r="V19">
        <v>100</v>
      </c>
      <c r="W19">
        <v>100</v>
      </c>
      <c r="X19">
        <v>100</v>
      </c>
      <c r="Y19">
        <v>100</v>
      </c>
      <c r="Z19">
        <v>100</v>
      </c>
      <c r="AA19">
        <v>100</v>
      </c>
      <c r="AB19">
        <v>100</v>
      </c>
      <c r="AC19">
        <v>100</v>
      </c>
      <c r="AD19">
        <v>100</v>
      </c>
      <c r="AE19">
        <v>100</v>
      </c>
      <c r="AF19">
        <v>100</v>
      </c>
      <c r="AG19">
        <v>100</v>
      </c>
      <c r="AH19">
        <v>100</v>
      </c>
      <c r="AI19">
        <v>100</v>
      </c>
      <c r="AJ19">
        <v>100</v>
      </c>
      <c r="AK19">
        <v>100</v>
      </c>
      <c r="AL19">
        <v>100</v>
      </c>
    </row>
    <row r="20" spans="1:38" x14ac:dyDescent="0.3">
      <c r="A20" t="s">
        <v>598</v>
      </c>
      <c r="B20" t="s">
        <v>317</v>
      </c>
      <c r="C20" t="s">
        <v>519</v>
      </c>
      <c r="J20">
        <v>14.5</v>
      </c>
      <c r="K20">
        <v>18.589626312255898</v>
      </c>
      <c r="L20">
        <v>19.578254699706999</v>
      </c>
      <c r="M20">
        <v>20.5620422363281</v>
      </c>
      <c r="N20">
        <v>21.5</v>
      </c>
      <c r="O20">
        <v>21.9</v>
      </c>
      <c r="P20">
        <v>23.4</v>
      </c>
      <c r="Q20">
        <v>24.3</v>
      </c>
      <c r="R20">
        <v>25.2</v>
      </c>
      <c r="S20">
        <v>26.1</v>
      </c>
      <c r="T20">
        <v>27.9</v>
      </c>
      <c r="U20">
        <v>28</v>
      </c>
      <c r="V20">
        <v>29</v>
      </c>
      <c r="W20">
        <v>30</v>
      </c>
      <c r="X20">
        <v>34.200000000000003</v>
      </c>
      <c r="Y20">
        <v>36.9</v>
      </c>
      <c r="Z20">
        <v>38.4</v>
      </c>
      <c r="AA20">
        <v>34.700000000000003</v>
      </c>
      <c r="AB20">
        <v>34.1</v>
      </c>
      <c r="AC20">
        <v>29.6</v>
      </c>
      <c r="AD20">
        <v>37</v>
      </c>
      <c r="AE20">
        <v>34.5</v>
      </c>
      <c r="AF20">
        <v>39</v>
      </c>
      <c r="AG20">
        <v>40</v>
      </c>
      <c r="AH20">
        <v>41</v>
      </c>
      <c r="AI20">
        <v>42</v>
      </c>
      <c r="AJ20">
        <v>56.5</v>
      </c>
      <c r="AK20">
        <v>57</v>
      </c>
      <c r="AL20">
        <v>59</v>
      </c>
    </row>
    <row r="21" spans="1:38" x14ac:dyDescent="0.3">
      <c r="A21" t="s">
        <v>109</v>
      </c>
      <c r="B21" t="s">
        <v>433</v>
      </c>
      <c r="C21" t="s">
        <v>519</v>
      </c>
      <c r="G21">
        <v>6.1</v>
      </c>
      <c r="H21">
        <v>6.1250100135803196</v>
      </c>
      <c r="I21">
        <v>6.6253328323364302</v>
      </c>
      <c r="J21">
        <v>7.1229362487793004</v>
      </c>
      <c r="K21">
        <v>7.6171398162841797</v>
      </c>
      <c r="L21">
        <v>8.1072645187377894</v>
      </c>
      <c r="M21">
        <v>6.9</v>
      </c>
      <c r="N21">
        <v>9.1</v>
      </c>
      <c r="O21">
        <v>9.5</v>
      </c>
      <c r="P21">
        <v>9.9</v>
      </c>
      <c r="Q21">
        <v>11.4</v>
      </c>
      <c r="R21">
        <v>10.7</v>
      </c>
      <c r="S21">
        <v>11.1</v>
      </c>
      <c r="T21">
        <v>11.6</v>
      </c>
      <c r="U21">
        <v>12</v>
      </c>
      <c r="V21">
        <v>12.5</v>
      </c>
      <c r="W21">
        <v>12.6</v>
      </c>
      <c r="X21">
        <v>13.1</v>
      </c>
      <c r="Y21">
        <v>14.8</v>
      </c>
      <c r="Z21">
        <v>15.1</v>
      </c>
      <c r="AA21">
        <v>15.4</v>
      </c>
      <c r="AB21">
        <v>19.2</v>
      </c>
      <c r="AC21">
        <v>16.2</v>
      </c>
      <c r="AD21">
        <v>16.600000000000001</v>
      </c>
      <c r="AE21">
        <v>17</v>
      </c>
      <c r="AF21">
        <v>14.4</v>
      </c>
      <c r="AG21">
        <v>17.600000000000001</v>
      </c>
      <c r="AH21">
        <v>18.5</v>
      </c>
      <c r="AI21">
        <v>19</v>
      </c>
      <c r="AJ21">
        <v>19.5</v>
      </c>
      <c r="AK21">
        <v>21.7</v>
      </c>
      <c r="AL21">
        <v>34</v>
      </c>
    </row>
    <row r="22" spans="1:38" x14ac:dyDescent="0.3">
      <c r="A22" t="s">
        <v>37</v>
      </c>
      <c r="B22" t="s">
        <v>138</v>
      </c>
      <c r="C22" t="s">
        <v>519</v>
      </c>
      <c r="E22">
        <v>14.29</v>
      </c>
      <c r="F22">
        <v>9.9054193496704102</v>
      </c>
      <c r="G22">
        <v>12.7178802490234</v>
      </c>
      <c r="H22">
        <v>17.8</v>
      </c>
      <c r="I22">
        <v>18.3380451202393</v>
      </c>
      <c r="J22">
        <v>21.144386291503899</v>
      </c>
      <c r="K22">
        <v>22.4</v>
      </c>
      <c r="L22">
        <v>26.746192932128899</v>
      </c>
      <c r="M22">
        <v>29.540214538574201</v>
      </c>
      <c r="N22">
        <v>32</v>
      </c>
      <c r="O22">
        <v>35</v>
      </c>
      <c r="P22">
        <v>37.799999999999997</v>
      </c>
      <c r="Q22">
        <v>40.5</v>
      </c>
      <c r="R22">
        <v>40.6</v>
      </c>
      <c r="S22">
        <v>44.2</v>
      </c>
      <c r="T22">
        <v>50.5</v>
      </c>
      <c r="U22">
        <v>46.5</v>
      </c>
      <c r="V22">
        <v>54.3</v>
      </c>
      <c r="W22">
        <v>57.1</v>
      </c>
      <c r="X22">
        <v>55.3</v>
      </c>
      <c r="Y22">
        <v>59.6</v>
      </c>
      <c r="Z22">
        <v>65.5</v>
      </c>
      <c r="AA22">
        <v>61.5</v>
      </c>
      <c r="AB22">
        <v>62.4</v>
      </c>
      <c r="AC22">
        <v>74</v>
      </c>
      <c r="AD22">
        <v>75.900000000000006</v>
      </c>
      <c r="AE22">
        <v>88</v>
      </c>
      <c r="AF22">
        <v>86.9</v>
      </c>
      <c r="AG22">
        <v>92.2</v>
      </c>
      <c r="AH22">
        <v>96.2</v>
      </c>
      <c r="AI22">
        <v>99</v>
      </c>
      <c r="AJ22">
        <v>99.4</v>
      </c>
      <c r="AK22">
        <v>99.5</v>
      </c>
      <c r="AL22">
        <v>99.5</v>
      </c>
    </row>
    <row r="23" spans="1:38" x14ac:dyDescent="0.3">
      <c r="A23" t="s">
        <v>576</v>
      </c>
      <c r="B23" t="s">
        <v>139</v>
      </c>
      <c r="C23" t="s">
        <v>519</v>
      </c>
      <c r="D23">
        <v>100</v>
      </c>
      <c r="E23">
        <v>100</v>
      </c>
      <c r="F23">
        <v>100</v>
      </c>
      <c r="G23">
        <v>100</v>
      </c>
      <c r="H23">
        <v>100</v>
      </c>
      <c r="I23">
        <v>100</v>
      </c>
      <c r="J23">
        <v>100</v>
      </c>
      <c r="K23">
        <v>100</v>
      </c>
      <c r="L23">
        <v>100</v>
      </c>
      <c r="M23">
        <v>100</v>
      </c>
      <c r="N23">
        <v>88.1</v>
      </c>
      <c r="O23">
        <v>88.6</v>
      </c>
      <c r="P23">
        <v>89.1</v>
      </c>
      <c r="Q23">
        <v>89.6</v>
      </c>
      <c r="R23">
        <v>90.1</v>
      </c>
      <c r="S23">
        <v>90.6</v>
      </c>
      <c r="T23">
        <v>91.2</v>
      </c>
      <c r="U23">
        <v>91.7</v>
      </c>
      <c r="V23">
        <v>92.3</v>
      </c>
      <c r="W23">
        <v>92.9</v>
      </c>
      <c r="X23">
        <v>93.5</v>
      </c>
      <c r="Y23">
        <v>94.1</v>
      </c>
      <c r="Z23">
        <v>94.7</v>
      </c>
      <c r="AA23">
        <v>95.3</v>
      </c>
      <c r="AB23">
        <v>95.9</v>
      </c>
      <c r="AC23">
        <v>96.6</v>
      </c>
      <c r="AD23">
        <v>97.3</v>
      </c>
      <c r="AE23">
        <v>98.1</v>
      </c>
      <c r="AF23">
        <v>98.7</v>
      </c>
      <c r="AG23">
        <v>99.2</v>
      </c>
      <c r="AH23">
        <v>99.7</v>
      </c>
      <c r="AI23">
        <v>99.8</v>
      </c>
      <c r="AJ23">
        <v>100</v>
      </c>
      <c r="AK23">
        <v>100</v>
      </c>
      <c r="AL23">
        <v>100</v>
      </c>
    </row>
    <row r="24" spans="1:38" x14ac:dyDescent="0.3">
      <c r="A24" t="s">
        <v>344</v>
      </c>
      <c r="B24" t="s">
        <v>64</v>
      </c>
      <c r="C24" t="s">
        <v>519</v>
      </c>
      <c r="D24">
        <v>99.941398620605497</v>
      </c>
      <c r="E24">
        <v>99.967391967773395</v>
      </c>
      <c r="F24">
        <v>99.9871826171875</v>
      </c>
      <c r="G24">
        <v>99.997138977050795</v>
      </c>
      <c r="H24">
        <v>99.999771118164105</v>
      </c>
      <c r="I24">
        <v>100</v>
      </c>
      <c r="J24">
        <v>100</v>
      </c>
      <c r="K24">
        <v>100</v>
      </c>
      <c r="L24">
        <v>100</v>
      </c>
      <c r="M24">
        <v>100</v>
      </c>
      <c r="N24">
        <v>100</v>
      </c>
      <c r="O24">
        <v>100</v>
      </c>
      <c r="P24">
        <v>100</v>
      </c>
      <c r="Q24">
        <v>100</v>
      </c>
      <c r="R24">
        <v>100</v>
      </c>
      <c r="S24">
        <v>100</v>
      </c>
      <c r="T24">
        <v>100</v>
      </c>
      <c r="U24">
        <v>100</v>
      </c>
      <c r="V24">
        <v>100</v>
      </c>
      <c r="W24">
        <v>100</v>
      </c>
      <c r="X24">
        <v>100</v>
      </c>
      <c r="Y24">
        <v>100</v>
      </c>
      <c r="Z24">
        <v>100</v>
      </c>
      <c r="AA24">
        <v>100</v>
      </c>
      <c r="AB24">
        <v>100</v>
      </c>
      <c r="AC24">
        <v>100</v>
      </c>
      <c r="AD24">
        <v>100</v>
      </c>
      <c r="AE24">
        <v>100</v>
      </c>
      <c r="AF24">
        <v>100</v>
      </c>
      <c r="AG24">
        <v>100</v>
      </c>
      <c r="AH24">
        <v>100</v>
      </c>
      <c r="AI24">
        <v>100</v>
      </c>
      <c r="AJ24">
        <v>100</v>
      </c>
      <c r="AK24">
        <v>100</v>
      </c>
      <c r="AL24">
        <v>100</v>
      </c>
    </row>
    <row r="25" spans="1:38" x14ac:dyDescent="0.3">
      <c r="A25" t="s">
        <v>152</v>
      </c>
      <c r="B25" t="s">
        <v>275</v>
      </c>
      <c r="C25" t="s">
        <v>519</v>
      </c>
      <c r="D25">
        <v>100</v>
      </c>
      <c r="E25">
        <v>100</v>
      </c>
      <c r="F25">
        <v>100</v>
      </c>
      <c r="G25">
        <v>100</v>
      </c>
      <c r="H25">
        <v>100</v>
      </c>
      <c r="I25">
        <v>100</v>
      </c>
      <c r="J25">
        <v>100</v>
      </c>
      <c r="K25">
        <v>100</v>
      </c>
      <c r="L25">
        <v>100</v>
      </c>
      <c r="M25">
        <v>100</v>
      </c>
      <c r="N25">
        <v>100</v>
      </c>
      <c r="O25">
        <v>100</v>
      </c>
      <c r="P25">
        <v>100</v>
      </c>
      <c r="Q25">
        <v>100</v>
      </c>
      <c r="R25">
        <v>100</v>
      </c>
      <c r="S25">
        <v>100</v>
      </c>
      <c r="T25">
        <v>100</v>
      </c>
      <c r="U25">
        <v>100</v>
      </c>
      <c r="V25">
        <v>100</v>
      </c>
      <c r="W25">
        <v>100</v>
      </c>
      <c r="X25">
        <v>100</v>
      </c>
      <c r="Y25">
        <v>100</v>
      </c>
      <c r="Z25">
        <v>100</v>
      </c>
      <c r="AA25">
        <v>100</v>
      </c>
      <c r="AB25">
        <v>100</v>
      </c>
      <c r="AC25">
        <v>100</v>
      </c>
      <c r="AD25">
        <v>100</v>
      </c>
      <c r="AE25">
        <v>100</v>
      </c>
      <c r="AF25">
        <v>100</v>
      </c>
      <c r="AG25">
        <v>100</v>
      </c>
      <c r="AH25">
        <v>100</v>
      </c>
      <c r="AI25">
        <v>100</v>
      </c>
      <c r="AJ25">
        <v>100</v>
      </c>
      <c r="AK25">
        <v>100</v>
      </c>
      <c r="AL25">
        <v>100</v>
      </c>
    </row>
    <row r="26" spans="1:38" x14ac:dyDescent="0.3">
      <c r="A26" t="s">
        <v>369</v>
      </c>
      <c r="B26" t="s">
        <v>525</v>
      </c>
      <c r="C26" t="s">
        <v>519</v>
      </c>
      <c r="D26">
        <v>100</v>
      </c>
      <c r="E26">
        <v>100</v>
      </c>
      <c r="F26">
        <v>100</v>
      </c>
      <c r="G26">
        <v>100</v>
      </c>
      <c r="H26">
        <v>100</v>
      </c>
      <c r="I26">
        <v>100</v>
      </c>
      <c r="J26">
        <v>100</v>
      </c>
      <c r="K26">
        <v>100</v>
      </c>
      <c r="L26">
        <v>100</v>
      </c>
      <c r="M26">
        <v>100</v>
      </c>
      <c r="N26">
        <v>99</v>
      </c>
      <c r="O26">
        <v>99.4</v>
      </c>
      <c r="P26">
        <v>98.5</v>
      </c>
      <c r="Q26">
        <v>99</v>
      </c>
      <c r="R26">
        <v>99.1</v>
      </c>
      <c r="S26">
        <v>99.1</v>
      </c>
      <c r="T26">
        <v>99.4</v>
      </c>
      <c r="U26">
        <v>99.7</v>
      </c>
      <c r="V26">
        <v>99.3</v>
      </c>
      <c r="W26">
        <v>99.4</v>
      </c>
      <c r="X26">
        <v>99.5</v>
      </c>
      <c r="Y26">
        <v>99.7</v>
      </c>
      <c r="Z26">
        <v>99.7</v>
      </c>
      <c r="AA26">
        <v>99.5</v>
      </c>
      <c r="AB26">
        <v>99.9</v>
      </c>
      <c r="AC26">
        <v>99.7</v>
      </c>
      <c r="AD26">
        <v>100</v>
      </c>
      <c r="AE26">
        <v>100</v>
      </c>
      <c r="AF26">
        <v>100</v>
      </c>
      <c r="AG26">
        <v>100</v>
      </c>
      <c r="AH26">
        <v>100</v>
      </c>
      <c r="AI26">
        <v>100</v>
      </c>
      <c r="AJ26">
        <v>100</v>
      </c>
      <c r="AK26">
        <v>100</v>
      </c>
      <c r="AL26">
        <v>100</v>
      </c>
    </row>
    <row r="27" spans="1:38" x14ac:dyDescent="0.3">
      <c r="A27" t="s">
        <v>559</v>
      </c>
      <c r="B27" t="s">
        <v>201</v>
      </c>
      <c r="C27" t="s">
        <v>519</v>
      </c>
      <c r="D27">
        <v>100</v>
      </c>
      <c r="E27">
        <v>100</v>
      </c>
      <c r="F27">
        <v>100</v>
      </c>
      <c r="G27">
        <v>100</v>
      </c>
      <c r="H27">
        <v>100</v>
      </c>
      <c r="I27">
        <v>100</v>
      </c>
      <c r="J27">
        <v>100</v>
      </c>
      <c r="K27">
        <v>100</v>
      </c>
      <c r="L27">
        <v>100</v>
      </c>
      <c r="M27">
        <v>100</v>
      </c>
      <c r="N27">
        <v>89</v>
      </c>
      <c r="O27">
        <v>89.5</v>
      </c>
      <c r="P27">
        <v>90</v>
      </c>
      <c r="Q27">
        <v>90.5</v>
      </c>
      <c r="R27">
        <v>91</v>
      </c>
      <c r="S27">
        <v>91.5</v>
      </c>
      <c r="T27">
        <v>92.1</v>
      </c>
      <c r="U27">
        <v>92.6</v>
      </c>
      <c r="V27">
        <v>93.2</v>
      </c>
      <c r="W27">
        <v>93.8</v>
      </c>
      <c r="X27">
        <v>94.4</v>
      </c>
      <c r="Y27">
        <v>95</v>
      </c>
      <c r="Z27">
        <v>95.6</v>
      </c>
      <c r="AA27">
        <v>96.2</v>
      </c>
      <c r="AB27">
        <v>96.8</v>
      </c>
      <c r="AC27">
        <v>97.4</v>
      </c>
      <c r="AD27">
        <v>98</v>
      </c>
      <c r="AE27">
        <v>98.7</v>
      </c>
      <c r="AF27">
        <v>99.3</v>
      </c>
      <c r="AG27">
        <v>100</v>
      </c>
      <c r="AH27">
        <v>100</v>
      </c>
      <c r="AI27">
        <v>100</v>
      </c>
      <c r="AJ27">
        <v>100</v>
      </c>
      <c r="AK27">
        <v>100</v>
      </c>
      <c r="AL27">
        <v>100</v>
      </c>
    </row>
    <row r="28" spans="1:38" x14ac:dyDescent="0.3">
      <c r="A28" t="s">
        <v>295</v>
      </c>
      <c r="B28" t="s">
        <v>272</v>
      </c>
      <c r="C28" t="s">
        <v>519</v>
      </c>
      <c r="E28">
        <v>67</v>
      </c>
      <c r="F28">
        <v>72.224914550781307</v>
      </c>
      <c r="G28">
        <v>73.123329162597699</v>
      </c>
      <c r="H28">
        <v>74.0203857421875</v>
      </c>
      <c r="I28">
        <v>74.915397644042997</v>
      </c>
      <c r="J28">
        <v>75.807693481445298</v>
      </c>
      <c r="K28">
        <v>76.696586608886705</v>
      </c>
      <c r="L28">
        <v>77.581405639648395</v>
      </c>
      <c r="M28">
        <v>78.461380004882798</v>
      </c>
      <c r="N28">
        <v>79</v>
      </c>
      <c r="O28">
        <v>80.2</v>
      </c>
      <c r="P28">
        <v>81</v>
      </c>
      <c r="Q28">
        <v>81.8</v>
      </c>
      <c r="R28">
        <v>82.6</v>
      </c>
      <c r="S28">
        <v>83.5</v>
      </c>
      <c r="T28">
        <v>91</v>
      </c>
      <c r="U28">
        <v>85.2</v>
      </c>
      <c r="V28">
        <v>86.1</v>
      </c>
      <c r="W28">
        <v>86.9</v>
      </c>
      <c r="X28">
        <v>89.9</v>
      </c>
      <c r="Y28">
        <v>91.7</v>
      </c>
      <c r="Z28">
        <v>90.9</v>
      </c>
      <c r="AA28">
        <v>91.1</v>
      </c>
      <c r="AB28">
        <v>91.5</v>
      </c>
      <c r="AC28">
        <v>91.8</v>
      </c>
      <c r="AD28">
        <v>93.3</v>
      </c>
      <c r="AE28">
        <v>94.2</v>
      </c>
      <c r="AF28">
        <v>91.7</v>
      </c>
      <c r="AG28">
        <v>92.7</v>
      </c>
      <c r="AH28">
        <v>96.8</v>
      </c>
      <c r="AI28">
        <v>97.7</v>
      </c>
      <c r="AJ28">
        <v>98.6</v>
      </c>
      <c r="AK28">
        <v>99.6</v>
      </c>
      <c r="AL28">
        <v>99.6</v>
      </c>
    </row>
    <row r="29" spans="1:38" x14ac:dyDescent="0.3">
      <c r="A29" t="s">
        <v>352</v>
      </c>
      <c r="B29" t="s">
        <v>607</v>
      </c>
      <c r="C29" t="s">
        <v>519</v>
      </c>
      <c r="D29">
        <v>100</v>
      </c>
      <c r="E29">
        <v>100</v>
      </c>
      <c r="F29">
        <v>100</v>
      </c>
      <c r="G29">
        <v>100</v>
      </c>
      <c r="H29">
        <v>100</v>
      </c>
      <c r="I29">
        <v>100</v>
      </c>
      <c r="J29">
        <v>100</v>
      </c>
      <c r="K29">
        <v>100</v>
      </c>
      <c r="L29">
        <v>100</v>
      </c>
      <c r="M29">
        <v>100</v>
      </c>
      <c r="N29">
        <v>100</v>
      </c>
      <c r="O29">
        <v>100</v>
      </c>
      <c r="P29">
        <v>100</v>
      </c>
      <c r="Q29">
        <v>100</v>
      </c>
      <c r="R29">
        <v>100</v>
      </c>
      <c r="S29">
        <v>100</v>
      </c>
      <c r="T29">
        <v>100</v>
      </c>
      <c r="U29">
        <v>100</v>
      </c>
      <c r="V29">
        <v>100</v>
      </c>
      <c r="W29">
        <v>100</v>
      </c>
      <c r="X29">
        <v>100</v>
      </c>
      <c r="Y29">
        <v>100</v>
      </c>
      <c r="Z29">
        <v>100</v>
      </c>
      <c r="AA29">
        <v>100</v>
      </c>
      <c r="AB29">
        <v>100</v>
      </c>
      <c r="AC29">
        <v>100</v>
      </c>
      <c r="AD29">
        <v>100</v>
      </c>
      <c r="AE29">
        <v>100</v>
      </c>
      <c r="AF29">
        <v>100</v>
      </c>
      <c r="AG29">
        <v>100</v>
      </c>
      <c r="AH29">
        <v>100</v>
      </c>
      <c r="AI29">
        <v>100</v>
      </c>
      <c r="AJ29">
        <v>100</v>
      </c>
      <c r="AK29">
        <v>100</v>
      </c>
      <c r="AL29">
        <v>100</v>
      </c>
    </row>
    <row r="30" spans="1:38" x14ac:dyDescent="0.3">
      <c r="A30" t="s">
        <v>53</v>
      </c>
      <c r="B30" t="s">
        <v>488</v>
      </c>
      <c r="C30" t="s">
        <v>519</v>
      </c>
      <c r="F30">
        <v>60.027900695800803</v>
      </c>
      <c r="G30">
        <v>61.384029388427699</v>
      </c>
      <c r="H30">
        <v>64.099999999999994</v>
      </c>
      <c r="I30">
        <v>64.091529846191406</v>
      </c>
      <c r="J30">
        <v>71</v>
      </c>
      <c r="K30">
        <v>67.330431000000004</v>
      </c>
      <c r="L30">
        <v>71.2</v>
      </c>
      <c r="M30">
        <v>70.929888000000005</v>
      </c>
      <c r="N30">
        <v>70</v>
      </c>
      <c r="O30">
        <v>69.3</v>
      </c>
      <c r="P30">
        <v>64</v>
      </c>
      <c r="Q30">
        <v>72.3</v>
      </c>
      <c r="R30">
        <v>75.900000000000006</v>
      </c>
      <c r="S30">
        <v>68.3</v>
      </c>
      <c r="T30">
        <v>76.2</v>
      </c>
      <c r="U30">
        <v>80.2</v>
      </c>
      <c r="V30">
        <v>84.7</v>
      </c>
      <c r="W30">
        <v>86.8</v>
      </c>
      <c r="X30">
        <v>88</v>
      </c>
      <c r="Y30">
        <v>88.3</v>
      </c>
      <c r="Z30">
        <v>90.4</v>
      </c>
      <c r="AA30">
        <v>89.5</v>
      </c>
      <c r="AB30">
        <v>90</v>
      </c>
      <c r="AC30">
        <v>91.5</v>
      </c>
      <c r="AD30">
        <v>91.8</v>
      </c>
      <c r="AE30">
        <v>91.8</v>
      </c>
      <c r="AF30">
        <v>92.8</v>
      </c>
      <c r="AG30">
        <v>95.1</v>
      </c>
      <c r="AH30">
        <v>97.2</v>
      </c>
      <c r="AI30">
        <v>98.6</v>
      </c>
      <c r="AJ30">
        <v>99.9</v>
      </c>
      <c r="AK30">
        <v>99.8</v>
      </c>
      <c r="AL30">
        <v>96.6</v>
      </c>
    </row>
    <row r="31" spans="1:38" x14ac:dyDescent="0.3">
      <c r="A31" t="s">
        <v>562</v>
      </c>
      <c r="B31" t="s">
        <v>315</v>
      </c>
      <c r="C31" t="s">
        <v>519</v>
      </c>
      <c r="D31">
        <v>87.475116</v>
      </c>
      <c r="E31">
        <v>90.606544494628906</v>
      </c>
      <c r="F31">
        <v>88.803832999999997</v>
      </c>
      <c r="G31">
        <v>89.999927</v>
      </c>
      <c r="H31">
        <v>91.883728027343807</v>
      </c>
      <c r="I31">
        <v>91.728598000000005</v>
      </c>
      <c r="J31">
        <v>92.867095000000006</v>
      </c>
      <c r="K31">
        <v>93.354139000000004</v>
      </c>
      <c r="L31">
        <v>94.193811999999994</v>
      </c>
      <c r="M31">
        <v>94.762960000000007</v>
      </c>
      <c r="N31">
        <v>94.4</v>
      </c>
      <c r="O31">
        <v>96</v>
      </c>
      <c r="P31">
        <v>96.7</v>
      </c>
      <c r="Q31">
        <v>97</v>
      </c>
      <c r="R31">
        <v>96.8</v>
      </c>
      <c r="S31">
        <v>97.1</v>
      </c>
      <c r="T31">
        <v>97.6</v>
      </c>
      <c r="U31">
        <v>98.1</v>
      </c>
      <c r="V31">
        <v>98.5</v>
      </c>
      <c r="W31">
        <v>98.9</v>
      </c>
      <c r="X31">
        <v>98.6</v>
      </c>
      <c r="Y31">
        <v>99.3</v>
      </c>
      <c r="Z31">
        <v>99.5</v>
      </c>
      <c r="AA31">
        <v>99.6</v>
      </c>
      <c r="AB31">
        <v>99.7</v>
      </c>
      <c r="AC31">
        <v>99.7</v>
      </c>
      <c r="AD31">
        <v>99.7</v>
      </c>
      <c r="AE31">
        <v>99.8</v>
      </c>
      <c r="AF31">
        <v>99.7</v>
      </c>
      <c r="AG31">
        <v>99.8</v>
      </c>
      <c r="AH31">
        <v>99.7</v>
      </c>
      <c r="AI31">
        <v>99.5</v>
      </c>
      <c r="AJ31">
        <v>100</v>
      </c>
      <c r="AK31">
        <v>99.8</v>
      </c>
      <c r="AL31">
        <v>99.8</v>
      </c>
    </row>
    <row r="32" spans="1:38" x14ac:dyDescent="0.3">
      <c r="A32" t="s">
        <v>532</v>
      </c>
      <c r="B32" t="s">
        <v>366</v>
      </c>
      <c r="C32" t="s">
        <v>519</v>
      </c>
      <c r="D32">
        <v>99.9842529296875</v>
      </c>
      <c r="E32">
        <v>99.993438720703097</v>
      </c>
      <c r="F32">
        <v>99.998687744140597</v>
      </c>
      <c r="G32">
        <v>100</v>
      </c>
      <c r="H32">
        <v>100</v>
      </c>
      <c r="I32">
        <v>100</v>
      </c>
      <c r="J32">
        <v>100</v>
      </c>
      <c r="K32">
        <v>100</v>
      </c>
      <c r="L32">
        <v>100</v>
      </c>
      <c r="M32">
        <v>100</v>
      </c>
      <c r="N32">
        <v>100</v>
      </c>
      <c r="O32">
        <v>100</v>
      </c>
      <c r="P32">
        <v>100</v>
      </c>
      <c r="Q32">
        <v>100</v>
      </c>
      <c r="R32">
        <v>99.9</v>
      </c>
      <c r="S32">
        <v>99.9</v>
      </c>
      <c r="T32">
        <v>100</v>
      </c>
      <c r="U32">
        <v>100</v>
      </c>
      <c r="V32">
        <v>100</v>
      </c>
      <c r="W32">
        <v>100</v>
      </c>
      <c r="X32">
        <v>100</v>
      </c>
      <c r="Y32">
        <v>100</v>
      </c>
      <c r="Z32">
        <v>100</v>
      </c>
      <c r="AA32">
        <v>100</v>
      </c>
      <c r="AB32">
        <v>100</v>
      </c>
      <c r="AC32">
        <v>100</v>
      </c>
      <c r="AD32">
        <v>100</v>
      </c>
      <c r="AE32">
        <v>100</v>
      </c>
      <c r="AF32">
        <v>100</v>
      </c>
      <c r="AG32">
        <v>100</v>
      </c>
      <c r="AH32">
        <v>100</v>
      </c>
      <c r="AI32">
        <v>100</v>
      </c>
      <c r="AJ32">
        <v>100</v>
      </c>
      <c r="AK32">
        <v>100</v>
      </c>
      <c r="AL32">
        <v>100</v>
      </c>
    </row>
    <row r="33" spans="1:38" x14ac:dyDescent="0.3">
      <c r="A33" t="s">
        <v>405</v>
      </c>
      <c r="B33" t="s">
        <v>118</v>
      </c>
      <c r="C33" t="s">
        <v>519</v>
      </c>
      <c r="D33">
        <v>100</v>
      </c>
      <c r="E33">
        <v>100</v>
      </c>
      <c r="F33">
        <v>100</v>
      </c>
      <c r="G33">
        <v>100</v>
      </c>
      <c r="H33">
        <v>100</v>
      </c>
      <c r="I33">
        <v>100</v>
      </c>
      <c r="J33">
        <v>100</v>
      </c>
      <c r="K33">
        <v>100</v>
      </c>
      <c r="L33">
        <v>100</v>
      </c>
      <c r="M33">
        <v>100</v>
      </c>
      <c r="N33">
        <v>100</v>
      </c>
      <c r="O33">
        <v>100</v>
      </c>
      <c r="P33">
        <v>100</v>
      </c>
      <c r="Q33">
        <v>100</v>
      </c>
      <c r="R33">
        <v>100</v>
      </c>
      <c r="S33">
        <v>100</v>
      </c>
      <c r="T33">
        <v>100</v>
      </c>
      <c r="U33">
        <v>100</v>
      </c>
      <c r="V33">
        <v>100</v>
      </c>
      <c r="W33">
        <v>100</v>
      </c>
      <c r="X33">
        <v>100</v>
      </c>
      <c r="Y33">
        <v>100</v>
      </c>
      <c r="Z33">
        <v>100</v>
      </c>
      <c r="AA33">
        <v>100</v>
      </c>
      <c r="AB33">
        <v>100</v>
      </c>
      <c r="AC33">
        <v>100</v>
      </c>
      <c r="AD33">
        <v>100</v>
      </c>
      <c r="AE33">
        <v>100</v>
      </c>
      <c r="AF33">
        <v>100</v>
      </c>
      <c r="AG33">
        <v>100</v>
      </c>
      <c r="AH33">
        <v>100</v>
      </c>
      <c r="AI33">
        <v>100</v>
      </c>
      <c r="AJ33">
        <v>100</v>
      </c>
      <c r="AK33">
        <v>100</v>
      </c>
      <c r="AL33">
        <v>100</v>
      </c>
    </row>
    <row r="34" spans="1:38" x14ac:dyDescent="0.3">
      <c r="A34" t="s">
        <v>541</v>
      </c>
      <c r="B34" t="s">
        <v>111</v>
      </c>
      <c r="C34" t="s">
        <v>519</v>
      </c>
      <c r="N34">
        <v>31.1</v>
      </c>
      <c r="O34">
        <v>40.200000000000003</v>
      </c>
      <c r="P34">
        <v>44.1</v>
      </c>
      <c r="Q34">
        <v>41.1</v>
      </c>
      <c r="R34">
        <v>51.9</v>
      </c>
      <c r="S34">
        <v>59.8</v>
      </c>
      <c r="T34">
        <v>59.7</v>
      </c>
      <c r="U34">
        <v>71.8</v>
      </c>
      <c r="V34">
        <v>67.599999999999994</v>
      </c>
      <c r="W34">
        <v>71.5</v>
      </c>
      <c r="X34">
        <v>73.3</v>
      </c>
      <c r="Y34">
        <v>81.8</v>
      </c>
      <c r="Z34">
        <v>91.5</v>
      </c>
      <c r="AA34">
        <v>87.4</v>
      </c>
      <c r="AB34">
        <v>91.4</v>
      </c>
      <c r="AC34">
        <v>95.4</v>
      </c>
      <c r="AD34">
        <v>99.3</v>
      </c>
      <c r="AE34">
        <v>97.7</v>
      </c>
      <c r="AF34">
        <v>100</v>
      </c>
      <c r="AG34">
        <v>100</v>
      </c>
      <c r="AH34">
        <v>100</v>
      </c>
      <c r="AI34">
        <v>100</v>
      </c>
      <c r="AJ34">
        <v>100</v>
      </c>
      <c r="AK34">
        <v>100</v>
      </c>
      <c r="AL34">
        <v>100</v>
      </c>
    </row>
    <row r="35" spans="1:38" x14ac:dyDescent="0.3">
      <c r="A35" t="s">
        <v>48</v>
      </c>
      <c r="B35" t="s">
        <v>373</v>
      </c>
      <c r="C35" t="s">
        <v>519</v>
      </c>
      <c r="E35">
        <v>10.1</v>
      </c>
      <c r="F35">
        <v>9.3982267379760707</v>
      </c>
      <c r="G35">
        <v>11.642076492309601</v>
      </c>
      <c r="H35">
        <v>13.8845663070679</v>
      </c>
      <c r="I35">
        <v>16.125017166137699</v>
      </c>
      <c r="J35">
        <v>18.362747192382798</v>
      </c>
      <c r="K35">
        <v>20.5970783233643</v>
      </c>
      <c r="L35">
        <v>22.827329635620099</v>
      </c>
      <c r="M35">
        <v>25.052740097045898</v>
      </c>
      <c r="N35">
        <v>26.5</v>
      </c>
      <c r="O35">
        <v>24.8</v>
      </c>
      <c r="P35">
        <v>27</v>
      </c>
      <c r="Q35">
        <v>33.1</v>
      </c>
      <c r="R35">
        <v>35.299999999999997</v>
      </c>
      <c r="S35">
        <v>37.5</v>
      </c>
      <c r="T35">
        <v>39.700000000000003</v>
      </c>
      <c r="U35">
        <v>41.9</v>
      </c>
      <c r="V35">
        <v>44.5</v>
      </c>
      <c r="W35">
        <v>43.4</v>
      </c>
      <c r="X35">
        <v>52</v>
      </c>
      <c r="Y35">
        <v>53.2</v>
      </c>
      <c r="Z35">
        <v>56</v>
      </c>
      <c r="AA35">
        <v>58</v>
      </c>
      <c r="AB35">
        <v>60</v>
      </c>
      <c r="AC35">
        <v>62.1</v>
      </c>
      <c r="AD35">
        <v>64.2</v>
      </c>
      <c r="AE35">
        <v>67.400000000000006</v>
      </c>
      <c r="AF35">
        <v>68.3</v>
      </c>
      <c r="AG35">
        <v>70.099999999999994</v>
      </c>
      <c r="AH35">
        <v>71.8</v>
      </c>
      <c r="AI35">
        <v>73.7</v>
      </c>
      <c r="AJ35">
        <v>75.900000000000006</v>
      </c>
      <c r="AK35">
        <v>76</v>
      </c>
      <c r="AL35">
        <v>80.2</v>
      </c>
    </row>
    <row r="36" spans="1:38" x14ac:dyDescent="0.3">
      <c r="A36" t="s">
        <v>171</v>
      </c>
      <c r="B36" t="s">
        <v>462</v>
      </c>
      <c r="C36" t="s">
        <v>519</v>
      </c>
      <c r="I36">
        <v>3</v>
      </c>
      <c r="J36">
        <v>3.3349156379699698</v>
      </c>
      <c r="K36">
        <v>3.83021020889282</v>
      </c>
      <c r="L36">
        <v>4.3214254379272496</v>
      </c>
      <c r="M36">
        <v>4.8077983856201199</v>
      </c>
      <c r="N36">
        <v>6</v>
      </c>
      <c r="O36">
        <v>5.7</v>
      </c>
      <c r="P36">
        <v>6.1</v>
      </c>
      <c r="Q36">
        <v>6.6</v>
      </c>
      <c r="R36">
        <v>7</v>
      </c>
      <c r="S36">
        <v>7.4</v>
      </c>
      <c r="T36">
        <v>7.8</v>
      </c>
      <c r="U36">
        <v>8.4</v>
      </c>
      <c r="V36">
        <v>7.5</v>
      </c>
      <c r="W36">
        <v>9.4</v>
      </c>
      <c r="X36">
        <v>9.8000000000000007</v>
      </c>
      <c r="Y36">
        <v>10.4</v>
      </c>
      <c r="Z36">
        <v>11</v>
      </c>
      <c r="AA36">
        <v>11.5</v>
      </c>
      <c r="AB36">
        <v>12</v>
      </c>
      <c r="AC36">
        <v>12.7</v>
      </c>
      <c r="AD36">
        <v>13.4</v>
      </c>
      <c r="AE36">
        <v>14.1</v>
      </c>
      <c r="AF36">
        <v>14.6</v>
      </c>
      <c r="AG36">
        <v>14.3</v>
      </c>
      <c r="AH36">
        <v>15.4</v>
      </c>
      <c r="AI36">
        <v>15.7</v>
      </c>
      <c r="AJ36">
        <v>15.7</v>
      </c>
      <c r="AK36">
        <v>17.600000000000001</v>
      </c>
      <c r="AL36">
        <v>18.2</v>
      </c>
    </row>
    <row r="37" spans="1:38" x14ac:dyDescent="0.3">
      <c r="A37" t="s">
        <v>182</v>
      </c>
      <c r="B37" t="s">
        <v>533</v>
      </c>
      <c r="C37" t="s">
        <v>519</v>
      </c>
      <c r="D37">
        <v>100</v>
      </c>
      <c r="E37">
        <v>100</v>
      </c>
      <c r="F37">
        <v>100</v>
      </c>
      <c r="G37">
        <v>100</v>
      </c>
      <c r="H37">
        <v>100</v>
      </c>
      <c r="I37">
        <v>100</v>
      </c>
      <c r="J37">
        <v>100</v>
      </c>
      <c r="K37">
        <v>100</v>
      </c>
      <c r="L37">
        <v>100</v>
      </c>
      <c r="M37">
        <v>100</v>
      </c>
      <c r="N37">
        <v>100</v>
      </c>
      <c r="O37">
        <v>100</v>
      </c>
      <c r="P37">
        <v>100</v>
      </c>
      <c r="Q37">
        <v>100</v>
      </c>
      <c r="R37">
        <v>100</v>
      </c>
      <c r="S37">
        <v>100</v>
      </c>
      <c r="T37">
        <v>100</v>
      </c>
      <c r="U37">
        <v>100</v>
      </c>
      <c r="V37">
        <v>100</v>
      </c>
      <c r="W37">
        <v>100</v>
      </c>
      <c r="X37">
        <v>100</v>
      </c>
      <c r="Y37">
        <v>100</v>
      </c>
      <c r="Z37">
        <v>100</v>
      </c>
      <c r="AA37">
        <v>100</v>
      </c>
      <c r="AB37">
        <v>100</v>
      </c>
      <c r="AC37">
        <v>100</v>
      </c>
      <c r="AD37">
        <v>100</v>
      </c>
      <c r="AE37">
        <v>100</v>
      </c>
      <c r="AF37">
        <v>100</v>
      </c>
      <c r="AG37">
        <v>100</v>
      </c>
      <c r="AH37">
        <v>100</v>
      </c>
      <c r="AI37">
        <v>100</v>
      </c>
      <c r="AJ37">
        <v>100</v>
      </c>
      <c r="AK37">
        <v>100</v>
      </c>
      <c r="AL37">
        <v>100</v>
      </c>
    </row>
    <row r="38" spans="1:38" x14ac:dyDescent="0.3">
      <c r="A38" t="s">
        <v>414</v>
      </c>
      <c r="B38" t="s">
        <v>215</v>
      </c>
      <c r="C38" t="s">
        <v>519</v>
      </c>
      <c r="D38">
        <v>100</v>
      </c>
      <c r="E38">
        <v>100</v>
      </c>
      <c r="F38">
        <v>100</v>
      </c>
      <c r="G38">
        <v>100</v>
      </c>
      <c r="H38">
        <v>100</v>
      </c>
      <c r="I38">
        <v>100</v>
      </c>
      <c r="J38">
        <v>100</v>
      </c>
      <c r="K38">
        <v>100</v>
      </c>
      <c r="L38">
        <v>100</v>
      </c>
      <c r="M38">
        <v>100</v>
      </c>
      <c r="N38">
        <v>97.92626353295941</v>
      </c>
      <c r="O38">
        <v>98.023537973573696</v>
      </c>
      <c r="P38">
        <v>98.141558320381662</v>
      </c>
      <c r="Q38">
        <v>98.190796895041629</v>
      </c>
      <c r="R38">
        <v>98.267929830080035</v>
      </c>
      <c r="S38">
        <v>98.320699841027945</v>
      </c>
      <c r="T38">
        <v>98.424281780815946</v>
      </c>
      <c r="U38">
        <v>98.527644639505496</v>
      </c>
      <c r="V38">
        <v>98.668856546124985</v>
      </c>
      <c r="W38">
        <v>98.858660118668354</v>
      </c>
      <c r="X38">
        <v>98.96442715450975</v>
      </c>
      <c r="Y38">
        <v>99.068298722374578</v>
      </c>
      <c r="Z38">
        <v>99.202835689741747</v>
      </c>
      <c r="AA38">
        <v>99.308477384130555</v>
      </c>
      <c r="AB38">
        <v>99.410769462163032</v>
      </c>
      <c r="AC38">
        <v>99.538470986329855</v>
      </c>
      <c r="AD38">
        <v>99.64591382979448</v>
      </c>
      <c r="AE38">
        <v>99.873686683046898</v>
      </c>
      <c r="AF38">
        <v>99.87637589835262</v>
      </c>
      <c r="AG38">
        <v>99.948034962679856</v>
      </c>
      <c r="AH38">
        <v>99.980583964969966</v>
      </c>
      <c r="AI38">
        <v>99.987012118228918</v>
      </c>
      <c r="AJ38">
        <v>100</v>
      </c>
      <c r="AK38">
        <v>100</v>
      </c>
      <c r="AL38">
        <v>100</v>
      </c>
    </row>
    <row r="39" spans="1:38" x14ac:dyDescent="0.3">
      <c r="A39" t="s">
        <v>174</v>
      </c>
      <c r="B39" t="s">
        <v>615</v>
      </c>
      <c r="C39" t="s">
        <v>519</v>
      </c>
      <c r="D39">
        <v>100</v>
      </c>
      <c r="E39">
        <v>100</v>
      </c>
      <c r="F39">
        <v>100</v>
      </c>
      <c r="G39">
        <v>100</v>
      </c>
      <c r="H39">
        <v>100</v>
      </c>
      <c r="I39">
        <v>100</v>
      </c>
      <c r="J39">
        <v>100</v>
      </c>
      <c r="K39">
        <v>100</v>
      </c>
      <c r="L39">
        <v>100</v>
      </c>
      <c r="M39">
        <v>100</v>
      </c>
      <c r="N39">
        <v>100</v>
      </c>
      <c r="O39">
        <v>100</v>
      </c>
      <c r="P39">
        <v>100</v>
      </c>
      <c r="Q39">
        <v>100</v>
      </c>
      <c r="R39">
        <v>100</v>
      </c>
      <c r="S39">
        <v>100</v>
      </c>
      <c r="T39">
        <v>100</v>
      </c>
      <c r="U39">
        <v>100</v>
      </c>
      <c r="V39">
        <v>100</v>
      </c>
      <c r="W39">
        <v>100</v>
      </c>
      <c r="X39">
        <v>100</v>
      </c>
      <c r="Y39">
        <v>100</v>
      </c>
      <c r="Z39">
        <v>100</v>
      </c>
      <c r="AA39">
        <v>100</v>
      </c>
      <c r="AB39">
        <v>100</v>
      </c>
      <c r="AC39">
        <v>100</v>
      </c>
      <c r="AD39">
        <v>100</v>
      </c>
      <c r="AE39">
        <v>100</v>
      </c>
      <c r="AF39">
        <v>100</v>
      </c>
      <c r="AG39">
        <v>100</v>
      </c>
      <c r="AH39">
        <v>100</v>
      </c>
      <c r="AI39">
        <v>100</v>
      </c>
      <c r="AJ39">
        <v>100</v>
      </c>
      <c r="AK39">
        <v>100</v>
      </c>
      <c r="AL39">
        <v>100</v>
      </c>
    </row>
    <row r="40" spans="1:38" x14ac:dyDescent="0.3">
      <c r="A40" t="s">
        <v>367</v>
      </c>
      <c r="B40" t="s">
        <v>293</v>
      </c>
      <c r="C40" t="s">
        <v>519</v>
      </c>
      <c r="D40">
        <v>100</v>
      </c>
      <c r="E40">
        <v>100</v>
      </c>
      <c r="F40">
        <v>100</v>
      </c>
      <c r="G40">
        <v>100</v>
      </c>
      <c r="H40">
        <v>100</v>
      </c>
      <c r="I40">
        <v>100</v>
      </c>
      <c r="J40">
        <v>100</v>
      </c>
      <c r="K40">
        <v>100</v>
      </c>
      <c r="L40">
        <v>100</v>
      </c>
      <c r="M40">
        <v>100</v>
      </c>
      <c r="N40">
        <v>100</v>
      </c>
      <c r="O40">
        <v>100</v>
      </c>
      <c r="P40">
        <v>100</v>
      </c>
      <c r="Q40">
        <v>100</v>
      </c>
      <c r="R40">
        <v>100</v>
      </c>
      <c r="S40">
        <v>100</v>
      </c>
      <c r="T40">
        <v>100</v>
      </c>
      <c r="U40">
        <v>100</v>
      </c>
      <c r="V40">
        <v>100</v>
      </c>
      <c r="W40">
        <v>100</v>
      </c>
      <c r="X40">
        <v>100</v>
      </c>
      <c r="Y40">
        <v>100</v>
      </c>
      <c r="Z40">
        <v>100</v>
      </c>
      <c r="AA40">
        <v>100</v>
      </c>
      <c r="AB40">
        <v>100</v>
      </c>
      <c r="AC40">
        <v>100</v>
      </c>
      <c r="AD40">
        <v>100</v>
      </c>
      <c r="AE40">
        <v>100</v>
      </c>
      <c r="AF40">
        <v>100</v>
      </c>
      <c r="AG40">
        <v>100</v>
      </c>
      <c r="AH40">
        <v>100</v>
      </c>
      <c r="AI40">
        <v>100</v>
      </c>
      <c r="AJ40">
        <v>100</v>
      </c>
      <c r="AK40">
        <v>100</v>
      </c>
      <c r="AL40">
        <v>100</v>
      </c>
    </row>
    <row r="41" spans="1:38" x14ac:dyDescent="0.3">
      <c r="A41" t="s">
        <v>150</v>
      </c>
      <c r="B41" t="s">
        <v>622</v>
      </c>
      <c r="C41" t="s">
        <v>519</v>
      </c>
      <c r="D41">
        <v>92.257427000000007</v>
      </c>
      <c r="E41">
        <v>94.781623840332003</v>
      </c>
      <c r="F41">
        <v>94.560057</v>
      </c>
      <c r="G41">
        <v>95.273727416992202</v>
      </c>
      <c r="H41">
        <v>95.518074035644503</v>
      </c>
      <c r="I41">
        <v>95.760383605957003</v>
      </c>
      <c r="J41">
        <v>95.617315000000005</v>
      </c>
      <c r="K41">
        <v>96.236167907714801</v>
      </c>
      <c r="L41">
        <v>97.241123999999999</v>
      </c>
      <c r="M41">
        <v>96.695549011230497</v>
      </c>
      <c r="N41">
        <v>97.9</v>
      </c>
      <c r="O41">
        <v>97.1</v>
      </c>
      <c r="P41">
        <v>97.3</v>
      </c>
      <c r="Q41">
        <v>98.8</v>
      </c>
      <c r="R41">
        <v>97.5</v>
      </c>
      <c r="S41">
        <v>97.7</v>
      </c>
      <c r="T41">
        <v>99.4</v>
      </c>
      <c r="U41">
        <v>98</v>
      </c>
      <c r="V41">
        <v>98.2</v>
      </c>
      <c r="W41">
        <v>99.6</v>
      </c>
      <c r="X41">
        <v>99.5</v>
      </c>
      <c r="Y41">
        <v>99.6</v>
      </c>
      <c r="Z41">
        <v>100</v>
      </c>
      <c r="AA41">
        <v>99.6</v>
      </c>
      <c r="AB41">
        <v>100</v>
      </c>
      <c r="AC41">
        <v>99.7</v>
      </c>
      <c r="AD41">
        <v>100</v>
      </c>
      <c r="AE41">
        <v>99.7</v>
      </c>
      <c r="AF41">
        <v>100</v>
      </c>
      <c r="AG41">
        <v>100</v>
      </c>
      <c r="AH41">
        <v>100</v>
      </c>
      <c r="AI41">
        <v>100</v>
      </c>
      <c r="AJ41">
        <v>100</v>
      </c>
      <c r="AK41">
        <v>100</v>
      </c>
      <c r="AL41">
        <v>99</v>
      </c>
    </row>
    <row r="42" spans="1:38" x14ac:dyDescent="0.3">
      <c r="A42" t="s">
        <v>476</v>
      </c>
      <c r="B42" t="s">
        <v>172</v>
      </c>
      <c r="C42" t="s">
        <v>519</v>
      </c>
      <c r="N42">
        <v>96.7</v>
      </c>
      <c r="O42">
        <v>97</v>
      </c>
      <c r="P42">
        <v>97.2</v>
      </c>
      <c r="Q42">
        <v>97.4</v>
      </c>
      <c r="R42">
        <v>97.7</v>
      </c>
      <c r="S42">
        <v>97.9</v>
      </c>
      <c r="T42">
        <v>98.2</v>
      </c>
      <c r="U42">
        <v>98.5</v>
      </c>
      <c r="V42">
        <v>98.8</v>
      </c>
      <c r="W42">
        <v>99.1</v>
      </c>
      <c r="X42">
        <v>99.7</v>
      </c>
      <c r="Y42">
        <v>99.9</v>
      </c>
      <c r="Z42">
        <v>99.9</v>
      </c>
      <c r="AA42">
        <v>100</v>
      </c>
      <c r="AB42">
        <v>100</v>
      </c>
      <c r="AC42">
        <v>100</v>
      </c>
      <c r="AD42">
        <v>100</v>
      </c>
      <c r="AE42">
        <v>100</v>
      </c>
      <c r="AF42">
        <v>100</v>
      </c>
      <c r="AG42">
        <v>100</v>
      </c>
      <c r="AH42">
        <v>100</v>
      </c>
      <c r="AI42">
        <v>100</v>
      </c>
      <c r="AJ42">
        <v>100</v>
      </c>
      <c r="AK42">
        <v>100</v>
      </c>
      <c r="AL42">
        <v>100</v>
      </c>
    </row>
    <row r="43" spans="1:38" x14ac:dyDescent="0.3">
      <c r="A43" t="s">
        <v>653</v>
      </c>
      <c r="B43" t="s">
        <v>311</v>
      </c>
      <c r="C43" t="s">
        <v>519</v>
      </c>
      <c r="H43">
        <v>36.5</v>
      </c>
      <c r="I43">
        <v>43.631252288818402</v>
      </c>
      <c r="J43">
        <v>44.6482124328613</v>
      </c>
      <c r="K43">
        <v>45.661769866943402</v>
      </c>
      <c r="L43">
        <v>46.6712455749512</v>
      </c>
      <c r="M43">
        <v>48.2</v>
      </c>
      <c r="N43">
        <v>48.7</v>
      </c>
      <c r="O43">
        <v>49.7</v>
      </c>
      <c r="P43">
        <v>51.4</v>
      </c>
      <c r="Q43">
        <v>51.5</v>
      </c>
      <c r="R43">
        <v>52.4</v>
      </c>
      <c r="S43">
        <v>58.9</v>
      </c>
      <c r="T43">
        <v>60.2</v>
      </c>
      <c r="U43">
        <v>55.3</v>
      </c>
      <c r="V43">
        <v>60.3</v>
      </c>
      <c r="W43">
        <v>57.3</v>
      </c>
      <c r="X43">
        <v>58.4</v>
      </c>
      <c r="Y43">
        <v>55.8</v>
      </c>
      <c r="Z43">
        <v>55.8</v>
      </c>
      <c r="AA43">
        <v>61.5</v>
      </c>
      <c r="AB43">
        <v>61.9</v>
      </c>
      <c r="AC43">
        <v>62.6</v>
      </c>
      <c r="AD43">
        <v>64.3</v>
      </c>
      <c r="AE43">
        <v>65.599999999999994</v>
      </c>
      <c r="AF43">
        <v>67.099999999999994</v>
      </c>
      <c r="AG43">
        <v>68.599999999999994</v>
      </c>
      <c r="AH43">
        <v>69.900000000000006</v>
      </c>
      <c r="AI43">
        <v>71.099999999999994</v>
      </c>
      <c r="AJ43">
        <v>70.400000000000006</v>
      </c>
      <c r="AK43">
        <v>72.400000000000006</v>
      </c>
      <c r="AL43">
        <v>72.900000000000006</v>
      </c>
    </row>
    <row r="44" spans="1:38" x14ac:dyDescent="0.3">
      <c r="A44" t="s">
        <v>704</v>
      </c>
      <c r="B44" t="s">
        <v>72</v>
      </c>
      <c r="C44" t="s">
        <v>519</v>
      </c>
      <c r="E44">
        <v>29</v>
      </c>
      <c r="F44">
        <v>32.697525024414098</v>
      </c>
      <c r="G44">
        <v>33.849193572997997</v>
      </c>
      <c r="H44">
        <v>34.999504089355497</v>
      </c>
      <c r="I44">
        <v>36.147773742675803</v>
      </c>
      <c r="J44">
        <v>37.293323516845703</v>
      </c>
      <c r="K44">
        <v>38.435474395752003</v>
      </c>
      <c r="L44">
        <v>40.700000000000003</v>
      </c>
      <c r="M44">
        <v>40.706775665283203</v>
      </c>
      <c r="N44">
        <v>41</v>
      </c>
      <c r="O44">
        <v>46.2</v>
      </c>
      <c r="P44">
        <v>44</v>
      </c>
      <c r="Q44">
        <v>45.1</v>
      </c>
      <c r="R44">
        <v>47.1</v>
      </c>
      <c r="S44">
        <v>47.2</v>
      </c>
      <c r="T44">
        <v>49</v>
      </c>
      <c r="U44">
        <v>48.2</v>
      </c>
      <c r="V44">
        <v>50.6</v>
      </c>
      <c r="W44">
        <v>51.7</v>
      </c>
      <c r="X44">
        <v>52.8</v>
      </c>
      <c r="Y44">
        <v>53.7</v>
      </c>
      <c r="Z44">
        <v>55.2</v>
      </c>
      <c r="AA44">
        <v>56.3</v>
      </c>
      <c r="AB44">
        <v>56.8</v>
      </c>
      <c r="AC44">
        <v>58.6</v>
      </c>
      <c r="AD44">
        <v>59.8</v>
      </c>
      <c r="AE44">
        <v>60.9</v>
      </c>
      <c r="AF44">
        <v>62.2</v>
      </c>
      <c r="AG44">
        <v>63.2</v>
      </c>
      <c r="AH44">
        <v>64.3</v>
      </c>
      <c r="AI44">
        <v>65.400000000000006</v>
      </c>
      <c r="AJ44">
        <v>71</v>
      </c>
      <c r="AK44">
        <v>72</v>
      </c>
      <c r="AL44">
        <v>72</v>
      </c>
    </row>
    <row r="45" spans="1:38" x14ac:dyDescent="0.3">
      <c r="A45" t="s">
        <v>468</v>
      </c>
      <c r="B45" t="s">
        <v>205</v>
      </c>
      <c r="C45" t="s">
        <v>519</v>
      </c>
      <c r="N45">
        <v>6.7</v>
      </c>
      <c r="O45">
        <v>7.1</v>
      </c>
      <c r="P45">
        <v>7.7</v>
      </c>
      <c r="Q45">
        <v>8.3000000000000007</v>
      </c>
      <c r="R45">
        <v>9</v>
      </c>
      <c r="S45">
        <v>6</v>
      </c>
      <c r="T45">
        <v>10.199999999999999</v>
      </c>
      <c r="U45">
        <v>15.2</v>
      </c>
      <c r="V45">
        <v>11.6</v>
      </c>
      <c r="W45">
        <v>12.3</v>
      </c>
      <c r="X45">
        <v>13</v>
      </c>
      <c r="Y45">
        <v>13.7</v>
      </c>
      <c r="Z45">
        <v>15.4</v>
      </c>
      <c r="AA45">
        <v>15.2</v>
      </c>
      <c r="AB45">
        <v>13.5</v>
      </c>
      <c r="AC45">
        <v>16.600000000000001</v>
      </c>
      <c r="AD45">
        <v>17.3</v>
      </c>
      <c r="AE45">
        <v>18</v>
      </c>
      <c r="AF45">
        <v>18.7</v>
      </c>
      <c r="AG45">
        <v>19.100000000000001</v>
      </c>
      <c r="AH45">
        <v>20.100000000000001</v>
      </c>
      <c r="AI45">
        <v>20.8</v>
      </c>
      <c r="AJ45">
        <v>21.5</v>
      </c>
      <c r="AK45">
        <v>22.1</v>
      </c>
      <c r="AL45">
        <v>22.5</v>
      </c>
    </row>
    <row r="46" spans="1:38" x14ac:dyDescent="0.3">
      <c r="A46" t="s">
        <v>365</v>
      </c>
      <c r="B46" t="s">
        <v>382</v>
      </c>
      <c r="C46" t="s">
        <v>519</v>
      </c>
      <c r="N46">
        <v>29.4</v>
      </c>
      <c r="O46">
        <v>30.3</v>
      </c>
      <c r="P46">
        <v>31.2</v>
      </c>
      <c r="Q46">
        <v>32.1</v>
      </c>
      <c r="R46">
        <v>33</v>
      </c>
      <c r="S46">
        <v>33.799999999999997</v>
      </c>
      <c r="T46">
        <v>34.9</v>
      </c>
      <c r="U46">
        <v>35.799999999999997</v>
      </c>
      <c r="V46">
        <v>36.799999999999997</v>
      </c>
      <c r="W46">
        <v>37.1</v>
      </c>
      <c r="X46">
        <v>40</v>
      </c>
      <c r="Y46">
        <v>40.799999999999997</v>
      </c>
      <c r="Z46">
        <v>41.6</v>
      </c>
      <c r="AA46">
        <v>42.5</v>
      </c>
      <c r="AB46">
        <v>43.4</v>
      </c>
      <c r="AC46">
        <v>44.3</v>
      </c>
      <c r="AD46">
        <v>45.3</v>
      </c>
      <c r="AE46">
        <v>46.2</v>
      </c>
      <c r="AF46">
        <v>47</v>
      </c>
      <c r="AG46">
        <v>47.7</v>
      </c>
      <c r="AH46">
        <v>48.7</v>
      </c>
      <c r="AI46">
        <v>49.7</v>
      </c>
      <c r="AJ46">
        <v>50.6</v>
      </c>
      <c r="AK46">
        <v>51.3</v>
      </c>
      <c r="AL46">
        <v>53</v>
      </c>
    </row>
    <row r="47" spans="1:38" x14ac:dyDescent="0.3">
      <c r="A47" t="s">
        <v>528</v>
      </c>
      <c r="B47" t="s">
        <v>278</v>
      </c>
      <c r="C47" t="s">
        <v>519</v>
      </c>
      <c r="D47">
        <v>89.9</v>
      </c>
      <c r="E47">
        <v>91.836654663085895</v>
      </c>
      <c r="F47">
        <v>92.132659912109403</v>
      </c>
      <c r="G47">
        <v>92.427993774414105</v>
      </c>
      <c r="H47">
        <v>92.721961975097699</v>
      </c>
      <c r="I47">
        <v>91.2</v>
      </c>
      <c r="J47">
        <v>93.3031005859375</v>
      </c>
      <c r="K47">
        <v>93.588912963867202</v>
      </c>
      <c r="L47">
        <v>93.870643615722699</v>
      </c>
      <c r="M47">
        <v>94.147529602050795</v>
      </c>
      <c r="N47">
        <v>95.2</v>
      </c>
      <c r="O47">
        <v>98.5</v>
      </c>
      <c r="P47">
        <v>94.9</v>
      </c>
      <c r="Q47">
        <v>95.1</v>
      </c>
      <c r="R47">
        <v>95.3</v>
      </c>
      <c r="S47">
        <v>96.8</v>
      </c>
      <c r="T47">
        <v>95.7</v>
      </c>
      <c r="U47">
        <v>96</v>
      </c>
      <c r="V47">
        <v>96.8</v>
      </c>
      <c r="W47">
        <v>96.1</v>
      </c>
      <c r="X47">
        <v>96.8</v>
      </c>
      <c r="Y47">
        <v>96.7</v>
      </c>
      <c r="Z47">
        <v>97</v>
      </c>
      <c r="AA47">
        <v>97.8</v>
      </c>
      <c r="AB47">
        <v>97.8</v>
      </c>
      <c r="AC47">
        <v>98.2</v>
      </c>
      <c r="AD47">
        <v>98.4</v>
      </c>
      <c r="AE47">
        <v>98.5</v>
      </c>
      <c r="AF47">
        <v>98.5</v>
      </c>
      <c r="AG47">
        <v>99.4</v>
      </c>
      <c r="AH47">
        <v>99.7</v>
      </c>
      <c r="AI47">
        <v>100</v>
      </c>
      <c r="AJ47">
        <v>100</v>
      </c>
      <c r="AK47">
        <v>98.7</v>
      </c>
      <c r="AL47">
        <v>98.9</v>
      </c>
    </row>
    <row r="48" spans="1:38" x14ac:dyDescent="0.3">
      <c r="A48" t="s">
        <v>335</v>
      </c>
      <c r="B48" t="s">
        <v>332</v>
      </c>
      <c r="C48" t="s">
        <v>519</v>
      </c>
      <c r="J48">
        <v>28.9</v>
      </c>
      <c r="K48">
        <v>32.762413024902301</v>
      </c>
      <c r="L48">
        <v>35.094528198242202</v>
      </c>
      <c r="M48">
        <v>37.421802520752003</v>
      </c>
      <c r="N48">
        <v>39.799999999999997</v>
      </c>
      <c r="O48">
        <v>42</v>
      </c>
      <c r="P48">
        <v>44.8</v>
      </c>
      <c r="Q48">
        <v>46.5</v>
      </c>
      <c r="R48">
        <v>48.7</v>
      </c>
      <c r="S48">
        <v>51</v>
      </c>
      <c r="T48">
        <v>53.2</v>
      </c>
      <c r="U48">
        <v>55.5</v>
      </c>
      <c r="V48">
        <v>57.8</v>
      </c>
      <c r="W48">
        <v>60.1</v>
      </c>
      <c r="X48">
        <v>69.7</v>
      </c>
      <c r="Y48">
        <v>69.3</v>
      </c>
      <c r="Z48">
        <v>69.3</v>
      </c>
      <c r="AA48">
        <v>69.400000000000006</v>
      </c>
      <c r="AB48">
        <v>71.8</v>
      </c>
      <c r="AC48">
        <v>74.099999999999994</v>
      </c>
      <c r="AD48">
        <v>76.400000000000006</v>
      </c>
      <c r="AE48">
        <v>78.7</v>
      </c>
      <c r="AF48">
        <v>81</v>
      </c>
      <c r="AG48">
        <v>83.3</v>
      </c>
      <c r="AH48">
        <v>85.6</v>
      </c>
      <c r="AI48">
        <v>87.9</v>
      </c>
      <c r="AJ48">
        <v>89.9</v>
      </c>
      <c r="AK48">
        <v>89.8</v>
      </c>
      <c r="AL48">
        <v>91.7</v>
      </c>
    </row>
    <row r="49" spans="1:38" x14ac:dyDescent="0.3">
      <c r="A49" t="s">
        <v>466</v>
      </c>
      <c r="B49" t="s">
        <v>537</v>
      </c>
      <c r="C49" t="s">
        <v>519</v>
      </c>
      <c r="N49">
        <v>58.6</v>
      </c>
      <c r="O49">
        <v>60.3</v>
      </c>
      <c r="P49">
        <v>58.6</v>
      </c>
      <c r="Q49">
        <v>63.7</v>
      </c>
      <c r="R49">
        <v>65.400000000000006</v>
      </c>
      <c r="S49">
        <v>67</v>
      </c>
      <c r="T49">
        <v>68.8</v>
      </c>
      <c r="U49">
        <v>70.5</v>
      </c>
      <c r="V49">
        <v>72.3</v>
      </c>
      <c r="W49">
        <v>74.099999999999994</v>
      </c>
      <c r="X49">
        <v>81.099999999999994</v>
      </c>
      <c r="Y49">
        <v>82.3</v>
      </c>
      <c r="Z49">
        <v>83.2</v>
      </c>
      <c r="AA49">
        <v>84.3</v>
      </c>
      <c r="AB49">
        <v>85.3</v>
      </c>
      <c r="AC49">
        <v>86.4</v>
      </c>
      <c r="AD49">
        <v>87.5</v>
      </c>
      <c r="AE49">
        <v>88.6</v>
      </c>
      <c r="AF49">
        <v>90.2</v>
      </c>
      <c r="AG49">
        <v>91.4</v>
      </c>
      <c r="AH49">
        <v>93.7</v>
      </c>
      <c r="AI49">
        <v>95.5</v>
      </c>
      <c r="AJ49">
        <v>97.1</v>
      </c>
      <c r="AK49">
        <v>98.6</v>
      </c>
      <c r="AL49">
        <v>98.4</v>
      </c>
    </row>
    <row r="50" spans="1:38" x14ac:dyDescent="0.3">
      <c r="A50" t="s">
        <v>320</v>
      </c>
      <c r="B50" t="s">
        <v>11</v>
      </c>
      <c r="C50" t="s">
        <v>519</v>
      </c>
      <c r="N50">
        <v>96.9</v>
      </c>
      <c r="O50">
        <v>98.2</v>
      </c>
      <c r="P50">
        <v>98.5</v>
      </c>
      <c r="Q50">
        <v>98.7</v>
      </c>
      <c r="R50">
        <v>99</v>
      </c>
      <c r="S50">
        <v>99.1</v>
      </c>
      <c r="T50">
        <v>99.1</v>
      </c>
      <c r="U50">
        <v>99.2</v>
      </c>
      <c r="V50">
        <v>99.3</v>
      </c>
      <c r="W50">
        <v>99.4</v>
      </c>
      <c r="X50">
        <v>99</v>
      </c>
      <c r="Y50">
        <v>99.2</v>
      </c>
      <c r="Z50">
        <v>99.5</v>
      </c>
      <c r="AA50">
        <v>99.6</v>
      </c>
      <c r="AB50">
        <v>99.4</v>
      </c>
      <c r="AC50">
        <v>99.4</v>
      </c>
      <c r="AD50">
        <v>99.5</v>
      </c>
      <c r="AE50">
        <v>99.6</v>
      </c>
      <c r="AF50">
        <v>99.7</v>
      </c>
      <c r="AG50">
        <v>99.7</v>
      </c>
      <c r="AH50">
        <v>99.9</v>
      </c>
      <c r="AI50">
        <v>100</v>
      </c>
      <c r="AJ50">
        <v>100</v>
      </c>
      <c r="AK50">
        <v>100</v>
      </c>
      <c r="AL50">
        <v>99.8</v>
      </c>
    </row>
    <row r="51" spans="1:38" x14ac:dyDescent="0.3">
      <c r="A51" t="s">
        <v>321</v>
      </c>
      <c r="B51" t="s">
        <v>273</v>
      </c>
      <c r="C51" t="s">
        <v>519</v>
      </c>
      <c r="N51">
        <v>88.415928981866301</v>
      </c>
      <c r="O51">
        <v>90.485533674083356</v>
      </c>
      <c r="P51">
        <v>90.809112704402011</v>
      </c>
      <c r="Q51">
        <v>91.001871838735724</v>
      </c>
      <c r="R51">
        <v>91.289464729061052</v>
      </c>
      <c r="S51">
        <v>90.815787481219743</v>
      </c>
      <c r="T51">
        <v>91.946397862570151</v>
      </c>
      <c r="U51">
        <v>93.081605472747881</v>
      </c>
      <c r="V51">
        <v>93.444129406157543</v>
      </c>
      <c r="W51">
        <v>92.915294392267569</v>
      </c>
      <c r="X51">
        <v>94.181512459459881</v>
      </c>
      <c r="Y51">
        <v>94.127681846713244</v>
      </c>
      <c r="Z51">
        <v>95.254311383972109</v>
      </c>
      <c r="AA51">
        <v>95.563739541844598</v>
      </c>
      <c r="AB51">
        <v>95.843219645840733</v>
      </c>
      <c r="AC51">
        <v>96.200194845337151</v>
      </c>
      <c r="AD51">
        <v>96.665686783299066</v>
      </c>
      <c r="AE51">
        <v>97.054290059411741</v>
      </c>
      <c r="AF51">
        <v>97.087827708048124</v>
      </c>
      <c r="AG51">
        <v>97.368590391376898</v>
      </c>
      <c r="AH51">
        <v>97.933362687703152</v>
      </c>
      <c r="AI51">
        <v>98.174699090254947</v>
      </c>
      <c r="AJ51">
        <v>98.306422150129748</v>
      </c>
      <c r="AK51">
        <v>99.168477538460991</v>
      </c>
      <c r="AL51">
        <v>98.428181253387265</v>
      </c>
    </row>
    <row r="52" spans="1:38" x14ac:dyDescent="0.3">
      <c r="A52" t="s">
        <v>90</v>
      </c>
      <c r="B52" t="s">
        <v>233</v>
      </c>
      <c r="C52" t="s">
        <v>519</v>
      </c>
      <c r="N52">
        <v>97</v>
      </c>
      <c r="O52">
        <v>96.2</v>
      </c>
      <c r="P52">
        <v>95.5</v>
      </c>
      <c r="Q52">
        <v>96.5</v>
      </c>
      <c r="R52">
        <v>96.6</v>
      </c>
      <c r="S52">
        <v>96.8</v>
      </c>
      <c r="T52">
        <v>96.9</v>
      </c>
      <c r="U52">
        <v>97.1</v>
      </c>
      <c r="V52">
        <v>97.3</v>
      </c>
      <c r="W52">
        <v>97.6</v>
      </c>
      <c r="X52">
        <v>97.8</v>
      </c>
      <c r="Y52">
        <v>98</v>
      </c>
      <c r="Z52">
        <v>98.3</v>
      </c>
      <c r="AA52">
        <v>98.5</v>
      </c>
      <c r="AB52">
        <v>98.7</v>
      </c>
      <c r="AC52">
        <v>99</v>
      </c>
      <c r="AD52">
        <v>99.2</v>
      </c>
      <c r="AE52">
        <v>99.4</v>
      </c>
      <c r="AF52">
        <v>99.6</v>
      </c>
      <c r="AG52">
        <v>99.8</v>
      </c>
      <c r="AH52">
        <v>99.9</v>
      </c>
      <c r="AI52">
        <v>100</v>
      </c>
      <c r="AJ52">
        <v>100</v>
      </c>
      <c r="AK52">
        <v>100</v>
      </c>
      <c r="AL52">
        <v>100</v>
      </c>
    </row>
    <row r="53" spans="1:38" x14ac:dyDescent="0.3">
      <c r="A53" t="s">
        <v>347</v>
      </c>
      <c r="B53" t="s">
        <v>91</v>
      </c>
      <c r="C53" t="s">
        <v>519</v>
      </c>
      <c r="D53">
        <v>100</v>
      </c>
      <c r="E53">
        <v>100</v>
      </c>
      <c r="F53">
        <v>100</v>
      </c>
      <c r="G53">
        <v>100</v>
      </c>
      <c r="H53">
        <v>100</v>
      </c>
      <c r="I53">
        <v>100</v>
      </c>
      <c r="J53">
        <v>100</v>
      </c>
      <c r="K53">
        <v>100</v>
      </c>
      <c r="L53">
        <v>100</v>
      </c>
      <c r="M53">
        <v>100</v>
      </c>
      <c r="N53">
        <v>100</v>
      </c>
      <c r="O53">
        <v>99.9</v>
      </c>
      <c r="P53">
        <v>99.9</v>
      </c>
      <c r="Q53">
        <v>99.8</v>
      </c>
      <c r="R53">
        <v>99.8</v>
      </c>
      <c r="S53">
        <v>99.7</v>
      </c>
      <c r="T53">
        <v>99.7</v>
      </c>
      <c r="U53">
        <v>99.7</v>
      </c>
      <c r="V53">
        <v>99.7</v>
      </c>
      <c r="W53">
        <v>99.7</v>
      </c>
      <c r="X53">
        <v>100</v>
      </c>
      <c r="Y53">
        <v>100</v>
      </c>
      <c r="Z53">
        <v>100</v>
      </c>
      <c r="AA53">
        <v>100</v>
      </c>
      <c r="AB53">
        <v>100</v>
      </c>
      <c r="AC53">
        <v>100</v>
      </c>
      <c r="AD53">
        <v>100</v>
      </c>
      <c r="AE53">
        <v>100</v>
      </c>
      <c r="AF53">
        <v>100</v>
      </c>
      <c r="AG53">
        <v>100</v>
      </c>
      <c r="AH53">
        <v>100</v>
      </c>
      <c r="AI53">
        <v>100</v>
      </c>
      <c r="AJ53">
        <v>100</v>
      </c>
      <c r="AK53">
        <v>100</v>
      </c>
      <c r="AL53">
        <v>100</v>
      </c>
    </row>
    <row r="54" spans="1:38" x14ac:dyDescent="0.3">
      <c r="A54" t="s">
        <v>452</v>
      </c>
      <c r="B54" t="s">
        <v>618</v>
      </c>
      <c r="C54" t="s">
        <v>519</v>
      </c>
      <c r="D54">
        <v>99.846923828125</v>
      </c>
      <c r="E54">
        <v>99.878814697265597</v>
      </c>
      <c r="F54">
        <v>99.910240173339801</v>
      </c>
      <c r="G54">
        <v>100</v>
      </c>
      <c r="H54">
        <v>100</v>
      </c>
      <c r="I54">
        <v>100</v>
      </c>
      <c r="J54">
        <v>100</v>
      </c>
      <c r="K54">
        <v>100</v>
      </c>
      <c r="L54">
        <v>100</v>
      </c>
      <c r="M54">
        <v>100</v>
      </c>
      <c r="N54">
        <v>100</v>
      </c>
      <c r="O54">
        <v>100</v>
      </c>
      <c r="P54">
        <v>100</v>
      </c>
      <c r="Q54">
        <v>100</v>
      </c>
      <c r="R54">
        <v>100</v>
      </c>
      <c r="S54">
        <v>100</v>
      </c>
      <c r="T54">
        <v>100</v>
      </c>
      <c r="U54">
        <v>100</v>
      </c>
      <c r="V54">
        <v>100</v>
      </c>
      <c r="W54">
        <v>100</v>
      </c>
      <c r="X54">
        <v>100</v>
      </c>
      <c r="Y54">
        <v>100</v>
      </c>
      <c r="Z54">
        <v>100</v>
      </c>
      <c r="AA54">
        <v>100</v>
      </c>
      <c r="AB54">
        <v>100</v>
      </c>
      <c r="AC54">
        <v>100</v>
      </c>
      <c r="AD54">
        <v>100</v>
      </c>
      <c r="AE54">
        <v>100</v>
      </c>
      <c r="AF54">
        <v>100</v>
      </c>
      <c r="AG54">
        <v>100</v>
      </c>
      <c r="AH54">
        <v>100</v>
      </c>
      <c r="AI54">
        <v>100</v>
      </c>
      <c r="AJ54">
        <v>100</v>
      </c>
      <c r="AK54">
        <v>100</v>
      </c>
      <c r="AL54">
        <v>100</v>
      </c>
    </row>
    <row r="55" spans="1:38" x14ac:dyDescent="0.3">
      <c r="A55" t="s">
        <v>417</v>
      </c>
      <c r="B55" t="s">
        <v>234</v>
      </c>
      <c r="C55" t="s">
        <v>519</v>
      </c>
      <c r="D55">
        <v>100</v>
      </c>
      <c r="E55">
        <v>100</v>
      </c>
      <c r="F55">
        <v>100</v>
      </c>
      <c r="G55">
        <v>100</v>
      </c>
      <c r="H55">
        <v>100</v>
      </c>
      <c r="I55">
        <v>100</v>
      </c>
      <c r="J55">
        <v>100</v>
      </c>
      <c r="K55">
        <v>100</v>
      </c>
      <c r="L55">
        <v>100</v>
      </c>
      <c r="M55">
        <v>100</v>
      </c>
      <c r="N55">
        <v>100</v>
      </c>
      <c r="O55">
        <v>100</v>
      </c>
      <c r="P55">
        <v>100</v>
      </c>
      <c r="Q55">
        <v>100</v>
      </c>
      <c r="R55">
        <v>100</v>
      </c>
      <c r="S55">
        <v>100</v>
      </c>
      <c r="T55">
        <v>100</v>
      </c>
      <c r="U55">
        <v>100</v>
      </c>
      <c r="V55">
        <v>100</v>
      </c>
      <c r="W55">
        <v>100</v>
      </c>
      <c r="X55">
        <v>100</v>
      </c>
      <c r="Y55">
        <v>100</v>
      </c>
      <c r="Z55">
        <v>100</v>
      </c>
      <c r="AA55">
        <v>100</v>
      </c>
      <c r="AB55">
        <v>100</v>
      </c>
      <c r="AC55">
        <v>100</v>
      </c>
      <c r="AD55">
        <v>100</v>
      </c>
      <c r="AE55">
        <v>100</v>
      </c>
      <c r="AF55">
        <v>100</v>
      </c>
      <c r="AG55">
        <v>100</v>
      </c>
      <c r="AH55">
        <v>100</v>
      </c>
      <c r="AI55">
        <v>100</v>
      </c>
      <c r="AJ55">
        <v>100</v>
      </c>
      <c r="AK55">
        <v>100</v>
      </c>
      <c r="AL55">
        <v>100</v>
      </c>
    </row>
    <row r="56" spans="1:38" x14ac:dyDescent="0.3">
      <c r="A56" t="s">
        <v>328</v>
      </c>
      <c r="B56" t="s">
        <v>633</v>
      </c>
      <c r="C56" t="s">
        <v>519</v>
      </c>
      <c r="D56">
        <v>100</v>
      </c>
      <c r="E56">
        <v>100</v>
      </c>
      <c r="F56">
        <v>100</v>
      </c>
      <c r="G56">
        <v>100</v>
      </c>
      <c r="H56">
        <v>100</v>
      </c>
      <c r="I56">
        <v>100</v>
      </c>
      <c r="J56">
        <v>100</v>
      </c>
      <c r="K56">
        <v>100</v>
      </c>
      <c r="L56">
        <v>100</v>
      </c>
      <c r="M56">
        <v>100</v>
      </c>
      <c r="N56">
        <v>100</v>
      </c>
      <c r="O56">
        <v>100</v>
      </c>
      <c r="P56">
        <v>100</v>
      </c>
      <c r="Q56">
        <v>100</v>
      </c>
      <c r="R56">
        <v>100</v>
      </c>
      <c r="S56">
        <v>100</v>
      </c>
      <c r="T56">
        <v>100</v>
      </c>
      <c r="U56">
        <v>100</v>
      </c>
      <c r="V56">
        <v>100</v>
      </c>
      <c r="W56">
        <v>100</v>
      </c>
      <c r="X56">
        <v>100</v>
      </c>
      <c r="Y56">
        <v>100</v>
      </c>
      <c r="Z56">
        <v>100</v>
      </c>
      <c r="AA56">
        <v>100</v>
      </c>
      <c r="AB56">
        <v>100</v>
      </c>
      <c r="AC56">
        <v>100</v>
      </c>
      <c r="AD56">
        <v>100</v>
      </c>
      <c r="AE56">
        <v>100</v>
      </c>
      <c r="AF56">
        <v>100</v>
      </c>
      <c r="AG56">
        <v>100</v>
      </c>
      <c r="AH56">
        <v>100</v>
      </c>
      <c r="AI56">
        <v>100</v>
      </c>
      <c r="AJ56">
        <v>100</v>
      </c>
      <c r="AK56">
        <v>100</v>
      </c>
      <c r="AL56">
        <v>100</v>
      </c>
    </row>
    <row r="57" spans="1:38" x14ac:dyDescent="0.3">
      <c r="A57" t="s">
        <v>455</v>
      </c>
      <c r="B57" t="s">
        <v>458</v>
      </c>
      <c r="C57" t="s">
        <v>519</v>
      </c>
      <c r="D57">
        <v>100</v>
      </c>
      <c r="E57">
        <v>100</v>
      </c>
      <c r="F57">
        <v>100</v>
      </c>
      <c r="G57">
        <v>100</v>
      </c>
      <c r="H57">
        <v>100</v>
      </c>
      <c r="I57">
        <v>100</v>
      </c>
      <c r="J57">
        <v>100</v>
      </c>
      <c r="K57">
        <v>100</v>
      </c>
      <c r="L57">
        <v>100</v>
      </c>
      <c r="M57">
        <v>100</v>
      </c>
      <c r="N57">
        <v>100</v>
      </c>
      <c r="O57">
        <v>100</v>
      </c>
      <c r="P57">
        <v>100</v>
      </c>
      <c r="Q57">
        <v>100</v>
      </c>
      <c r="R57">
        <v>100</v>
      </c>
      <c r="S57">
        <v>100</v>
      </c>
      <c r="T57">
        <v>100</v>
      </c>
      <c r="U57">
        <v>100</v>
      </c>
      <c r="V57">
        <v>100</v>
      </c>
      <c r="W57">
        <v>100</v>
      </c>
      <c r="X57">
        <v>100</v>
      </c>
      <c r="Y57">
        <v>100</v>
      </c>
      <c r="Z57">
        <v>100</v>
      </c>
      <c r="AA57">
        <v>100</v>
      </c>
      <c r="AB57">
        <v>100</v>
      </c>
      <c r="AC57">
        <v>100</v>
      </c>
      <c r="AD57">
        <v>100</v>
      </c>
      <c r="AE57">
        <v>100</v>
      </c>
      <c r="AF57">
        <v>100</v>
      </c>
      <c r="AG57">
        <v>100</v>
      </c>
      <c r="AH57">
        <v>100</v>
      </c>
      <c r="AI57">
        <v>100</v>
      </c>
      <c r="AJ57">
        <v>100</v>
      </c>
      <c r="AK57">
        <v>100</v>
      </c>
      <c r="AL57">
        <v>100</v>
      </c>
    </row>
    <row r="58" spans="1:38" x14ac:dyDescent="0.3">
      <c r="A58" t="s">
        <v>21</v>
      </c>
      <c r="B58" t="s">
        <v>226</v>
      </c>
      <c r="C58" t="s">
        <v>519</v>
      </c>
      <c r="J58">
        <v>62</v>
      </c>
      <c r="K58">
        <v>56.2944946289063</v>
      </c>
      <c r="L58">
        <v>56.322254180908203</v>
      </c>
      <c r="M58">
        <v>56.345169067382798</v>
      </c>
      <c r="N58">
        <v>56</v>
      </c>
      <c r="O58">
        <v>56.1</v>
      </c>
      <c r="P58">
        <v>49.7</v>
      </c>
      <c r="Q58">
        <v>56.4</v>
      </c>
      <c r="R58">
        <v>56.6</v>
      </c>
      <c r="S58">
        <v>56.8</v>
      </c>
      <c r="T58">
        <v>55.5</v>
      </c>
      <c r="U58">
        <v>57.2</v>
      </c>
      <c r="V58">
        <v>57.4</v>
      </c>
      <c r="W58">
        <v>57.6</v>
      </c>
      <c r="X58">
        <v>57.9</v>
      </c>
      <c r="Y58">
        <v>58.1</v>
      </c>
      <c r="Z58">
        <v>54.6</v>
      </c>
      <c r="AA58">
        <v>58.6</v>
      </c>
      <c r="AB58">
        <v>58.9</v>
      </c>
      <c r="AC58">
        <v>59.1</v>
      </c>
      <c r="AD58">
        <v>59.8</v>
      </c>
      <c r="AE58">
        <v>60.2</v>
      </c>
      <c r="AF58">
        <v>62.4</v>
      </c>
      <c r="AG58">
        <v>64.7</v>
      </c>
      <c r="AH58">
        <v>64.5</v>
      </c>
      <c r="AI58">
        <v>65.400000000000006</v>
      </c>
      <c r="AJ58">
        <v>65</v>
      </c>
      <c r="AK58">
        <v>65.2</v>
      </c>
      <c r="AL58">
        <v>69.2</v>
      </c>
    </row>
    <row r="59" spans="1:38" x14ac:dyDescent="0.3">
      <c r="A59" t="s">
        <v>655</v>
      </c>
      <c r="B59" t="s">
        <v>240</v>
      </c>
      <c r="C59" t="s">
        <v>519</v>
      </c>
      <c r="L59">
        <v>75</v>
      </c>
      <c r="M59">
        <v>79.621917724609403</v>
      </c>
      <c r="N59">
        <v>81.099999999999994</v>
      </c>
      <c r="O59">
        <v>82.1</v>
      </c>
      <c r="P59">
        <v>87.7</v>
      </c>
      <c r="Q59">
        <v>84</v>
      </c>
      <c r="R59">
        <v>85</v>
      </c>
      <c r="S59">
        <v>86</v>
      </c>
      <c r="T59">
        <v>87</v>
      </c>
      <c r="U59">
        <v>88.1</v>
      </c>
      <c r="V59">
        <v>90.9</v>
      </c>
      <c r="W59">
        <v>90.2</v>
      </c>
      <c r="X59">
        <v>91.3</v>
      </c>
      <c r="Y59">
        <v>90.1</v>
      </c>
      <c r="Z59">
        <v>93.5</v>
      </c>
      <c r="AA59">
        <v>94.6</v>
      </c>
      <c r="AB59">
        <v>95.7</v>
      </c>
      <c r="AC59">
        <v>96.7</v>
      </c>
      <c r="AD59">
        <v>97.8</v>
      </c>
      <c r="AE59">
        <v>98.9</v>
      </c>
      <c r="AF59">
        <v>99.6</v>
      </c>
      <c r="AG59">
        <v>99.9</v>
      </c>
      <c r="AH59">
        <v>100</v>
      </c>
      <c r="AI59">
        <v>100</v>
      </c>
      <c r="AJ59">
        <v>100</v>
      </c>
      <c r="AK59">
        <v>100</v>
      </c>
      <c r="AL59">
        <v>100</v>
      </c>
    </row>
    <row r="60" spans="1:38" x14ac:dyDescent="0.3">
      <c r="A60" t="s">
        <v>285</v>
      </c>
      <c r="B60" t="s">
        <v>501</v>
      </c>
      <c r="C60" t="s">
        <v>519</v>
      </c>
      <c r="D60">
        <v>100</v>
      </c>
      <c r="E60">
        <v>100</v>
      </c>
      <c r="F60">
        <v>100</v>
      </c>
      <c r="G60">
        <v>100</v>
      </c>
      <c r="H60">
        <v>100</v>
      </c>
      <c r="I60">
        <v>100</v>
      </c>
      <c r="J60">
        <v>100</v>
      </c>
      <c r="K60">
        <v>100</v>
      </c>
      <c r="L60">
        <v>100</v>
      </c>
      <c r="M60">
        <v>100</v>
      </c>
      <c r="N60">
        <v>100</v>
      </c>
      <c r="O60">
        <v>100</v>
      </c>
      <c r="P60">
        <v>100</v>
      </c>
      <c r="Q60">
        <v>100</v>
      </c>
      <c r="R60">
        <v>100</v>
      </c>
      <c r="S60">
        <v>100</v>
      </c>
      <c r="T60">
        <v>100</v>
      </c>
      <c r="U60">
        <v>100</v>
      </c>
      <c r="V60">
        <v>100</v>
      </c>
      <c r="W60">
        <v>100</v>
      </c>
      <c r="X60">
        <v>100</v>
      </c>
      <c r="Y60">
        <v>100</v>
      </c>
      <c r="Z60">
        <v>100</v>
      </c>
      <c r="AA60">
        <v>100</v>
      </c>
      <c r="AB60">
        <v>100</v>
      </c>
      <c r="AC60">
        <v>100</v>
      </c>
      <c r="AD60">
        <v>100</v>
      </c>
      <c r="AE60">
        <v>100</v>
      </c>
      <c r="AF60">
        <v>100</v>
      </c>
      <c r="AG60">
        <v>100</v>
      </c>
      <c r="AH60">
        <v>100</v>
      </c>
      <c r="AI60">
        <v>100</v>
      </c>
      <c r="AJ60">
        <v>100</v>
      </c>
      <c r="AK60">
        <v>100</v>
      </c>
      <c r="AL60">
        <v>100</v>
      </c>
    </row>
    <row r="61" spans="1:38" x14ac:dyDescent="0.3">
      <c r="A61" t="s">
        <v>392</v>
      </c>
      <c r="B61" t="s">
        <v>678</v>
      </c>
      <c r="C61" t="s">
        <v>519</v>
      </c>
      <c r="E61">
        <v>78.2</v>
      </c>
      <c r="F61">
        <v>82.485404968261705</v>
      </c>
      <c r="G61">
        <v>83.2554931640625</v>
      </c>
      <c r="H61">
        <v>84.024223327636705</v>
      </c>
      <c r="I61">
        <v>84.790908813476605</v>
      </c>
      <c r="J61">
        <v>85.554878234863295</v>
      </c>
      <c r="K61">
        <v>86.315444946289105</v>
      </c>
      <c r="L61">
        <v>87.071937561035199</v>
      </c>
      <c r="M61">
        <v>91</v>
      </c>
      <c r="N61">
        <v>88.8</v>
      </c>
      <c r="O61">
        <v>89.8</v>
      </c>
      <c r="P61">
        <v>89.7</v>
      </c>
      <c r="Q61">
        <v>89.2</v>
      </c>
      <c r="R61">
        <v>90.3</v>
      </c>
      <c r="S61">
        <v>90.1</v>
      </c>
      <c r="T61">
        <v>90.1</v>
      </c>
      <c r="U61">
        <v>96.9</v>
      </c>
      <c r="V61">
        <v>97.6</v>
      </c>
      <c r="W61">
        <v>97.9</v>
      </c>
      <c r="X61">
        <v>98.1</v>
      </c>
      <c r="Y61">
        <v>97.9</v>
      </c>
      <c r="Z61">
        <v>97.9</v>
      </c>
      <c r="AA61">
        <v>98.4</v>
      </c>
      <c r="AB61">
        <v>98.5</v>
      </c>
      <c r="AC61">
        <v>98.6</v>
      </c>
      <c r="AD61">
        <v>98.9</v>
      </c>
      <c r="AE61">
        <v>100</v>
      </c>
      <c r="AF61">
        <v>98.9</v>
      </c>
      <c r="AG61">
        <v>99</v>
      </c>
      <c r="AH61">
        <v>100</v>
      </c>
      <c r="AI61">
        <v>98.1</v>
      </c>
      <c r="AJ61">
        <v>98.1</v>
      </c>
      <c r="AK61">
        <v>99.6</v>
      </c>
      <c r="AL61">
        <v>99.5</v>
      </c>
    </row>
    <row r="62" spans="1:38" x14ac:dyDescent="0.3">
      <c r="A62" t="s">
        <v>654</v>
      </c>
      <c r="B62" t="s">
        <v>30</v>
      </c>
      <c r="C62" t="s">
        <v>519</v>
      </c>
      <c r="N62">
        <v>98.6</v>
      </c>
      <c r="O62">
        <v>98.6</v>
      </c>
      <c r="P62">
        <v>98.6</v>
      </c>
      <c r="Q62">
        <v>98.6</v>
      </c>
      <c r="R62">
        <v>98.6</v>
      </c>
      <c r="S62">
        <v>98.6</v>
      </c>
      <c r="T62">
        <v>98.7</v>
      </c>
      <c r="U62">
        <v>98.7</v>
      </c>
      <c r="V62">
        <v>99.3</v>
      </c>
      <c r="W62">
        <v>98.8</v>
      </c>
      <c r="X62">
        <v>98.9</v>
      </c>
      <c r="Y62">
        <v>99</v>
      </c>
      <c r="Z62">
        <v>98.8</v>
      </c>
      <c r="AA62">
        <v>99.2</v>
      </c>
      <c r="AB62">
        <v>99.3</v>
      </c>
      <c r="AC62">
        <v>99.4</v>
      </c>
      <c r="AD62">
        <v>99.4</v>
      </c>
      <c r="AE62">
        <v>99.5</v>
      </c>
      <c r="AF62">
        <v>99.6</v>
      </c>
      <c r="AG62">
        <v>99.5</v>
      </c>
      <c r="AH62">
        <v>99.7</v>
      </c>
      <c r="AI62">
        <v>99.8</v>
      </c>
      <c r="AJ62">
        <v>100</v>
      </c>
      <c r="AK62">
        <v>100</v>
      </c>
      <c r="AL62">
        <v>100</v>
      </c>
    </row>
    <row r="63" spans="1:38" x14ac:dyDescent="0.3">
      <c r="A63" t="s">
        <v>190</v>
      </c>
      <c r="B63" t="s">
        <v>217</v>
      </c>
      <c r="C63" t="s">
        <v>519</v>
      </c>
      <c r="N63">
        <v>91.138144466844963</v>
      </c>
      <c r="O63">
        <v>91.679807393445159</v>
      </c>
      <c r="P63">
        <v>92.15327311637094</v>
      </c>
      <c r="Q63">
        <v>92.378047771954087</v>
      </c>
      <c r="R63">
        <v>93.266068038797442</v>
      </c>
      <c r="S63">
        <v>92.845300362858623</v>
      </c>
      <c r="T63">
        <v>94.041455513415599</v>
      </c>
      <c r="U63">
        <v>94.051389236077085</v>
      </c>
      <c r="V63">
        <v>94.671931049063573</v>
      </c>
      <c r="W63">
        <v>94.4276339127764</v>
      </c>
      <c r="X63">
        <v>95.055370655435311</v>
      </c>
      <c r="Y63">
        <v>95.581681530515084</v>
      </c>
      <c r="Z63">
        <v>95.795165449222054</v>
      </c>
      <c r="AA63">
        <v>96.092853516826409</v>
      </c>
      <c r="AB63">
        <v>96.274099356559816</v>
      </c>
      <c r="AC63">
        <v>96.621825072806956</v>
      </c>
      <c r="AD63">
        <v>96.716534191727675</v>
      </c>
      <c r="AE63">
        <v>97.445307298376903</v>
      </c>
      <c r="AF63">
        <v>97.412382974717488</v>
      </c>
      <c r="AG63">
        <v>97.637195873130267</v>
      </c>
      <c r="AH63">
        <v>97.565184968247564</v>
      </c>
      <c r="AI63">
        <v>97.959920991029477</v>
      </c>
      <c r="AJ63">
        <v>98.029656910796959</v>
      </c>
      <c r="AK63">
        <v>98.237638300718871</v>
      </c>
      <c r="AL63">
        <v>98.409299927655042</v>
      </c>
    </row>
    <row r="64" spans="1:38" x14ac:dyDescent="0.3">
      <c r="A64" t="s">
        <v>657</v>
      </c>
      <c r="B64" t="s">
        <v>336</v>
      </c>
      <c r="C64" t="s">
        <v>519</v>
      </c>
      <c r="G64">
        <v>55.608974895942652</v>
      </c>
      <c r="H64">
        <v>56.371326619711958</v>
      </c>
      <c r="I64">
        <v>58.132648327177421</v>
      </c>
      <c r="J64">
        <v>59.870589593357757</v>
      </c>
      <c r="K64">
        <v>61.837906384413948</v>
      </c>
      <c r="L64">
        <v>63.39301071940293</v>
      </c>
      <c r="M64">
        <v>66.08566382588107</v>
      </c>
      <c r="N64">
        <v>67.500464830784964</v>
      </c>
      <c r="O64">
        <v>68.257774147403921</v>
      </c>
      <c r="P64">
        <v>69.15133395208494</v>
      </c>
      <c r="Q64">
        <v>70.882406839539868</v>
      </c>
      <c r="R64">
        <v>71.111419958797583</v>
      </c>
      <c r="S64">
        <v>72.749961004118262</v>
      </c>
      <c r="T64">
        <v>73.79998288083317</v>
      </c>
      <c r="U64">
        <v>75.655038338646818</v>
      </c>
      <c r="V64">
        <v>77.400779519742841</v>
      </c>
      <c r="W64">
        <v>78.288419964401783</v>
      </c>
      <c r="X64">
        <v>79.390067219547504</v>
      </c>
      <c r="Y64">
        <v>81.149982864428381</v>
      </c>
      <c r="Z64">
        <v>82.052463242174156</v>
      </c>
      <c r="AA64">
        <v>83.799312575469443</v>
      </c>
      <c r="AB64">
        <v>84.752008839851058</v>
      </c>
      <c r="AC64">
        <v>86.827154464257731</v>
      </c>
      <c r="AD64">
        <v>88.349448125350307</v>
      </c>
      <c r="AE64">
        <v>90.508672879645431</v>
      </c>
      <c r="AF64">
        <v>91.99271092227653</v>
      </c>
      <c r="AG64">
        <v>92.789533447997513</v>
      </c>
      <c r="AH64">
        <v>93.455264395636434</v>
      </c>
      <c r="AI64">
        <v>95.24233388870168</v>
      </c>
      <c r="AJ64">
        <v>95.144528242327212</v>
      </c>
      <c r="AK64">
        <v>95.704438104382206</v>
      </c>
      <c r="AL64">
        <v>96.090594905027785</v>
      </c>
    </row>
    <row r="65" spans="1:38" x14ac:dyDescent="0.3">
      <c r="A65" t="s">
        <v>460</v>
      </c>
      <c r="B65" t="s">
        <v>555</v>
      </c>
      <c r="C65" t="s">
        <v>519</v>
      </c>
      <c r="N65">
        <v>92.061814433866147</v>
      </c>
      <c r="O65">
        <v>92.543798227047816</v>
      </c>
      <c r="P65">
        <v>92.964855723082209</v>
      </c>
      <c r="Q65">
        <v>93.162958446972851</v>
      </c>
      <c r="R65">
        <v>93.956320727135505</v>
      </c>
      <c r="S65">
        <v>93.575146301846019</v>
      </c>
      <c r="T65">
        <v>94.647157704393365</v>
      </c>
      <c r="U65">
        <v>94.654540373264126</v>
      </c>
      <c r="V65">
        <v>95.211083867357345</v>
      </c>
      <c r="W65">
        <v>94.983328063047921</v>
      </c>
      <c r="X65">
        <v>95.546832475405239</v>
      </c>
      <c r="Y65">
        <v>96.018947395298653</v>
      </c>
      <c r="Z65">
        <v>96.209245783561371</v>
      </c>
      <c r="AA65">
        <v>96.475646699008266</v>
      </c>
      <c r="AB65">
        <v>96.637559576192928</v>
      </c>
      <c r="AC65">
        <v>96.95005996213122</v>
      </c>
      <c r="AD65">
        <v>97.034396583186563</v>
      </c>
      <c r="AE65">
        <v>97.691535928901374</v>
      </c>
      <c r="AF65">
        <v>97.660964068770014</v>
      </c>
      <c r="AG65">
        <v>97.863583530809919</v>
      </c>
      <c r="AH65">
        <v>97.797604261731323</v>
      </c>
      <c r="AI65">
        <v>98.153404945082187</v>
      </c>
      <c r="AJ65">
        <v>98.215974694741604</v>
      </c>
      <c r="AK65">
        <v>98.404462495769224</v>
      </c>
      <c r="AL65">
        <v>98.559794823803443</v>
      </c>
    </row>
    <row r="66" spans="1:38" x14ac:dyDescent="0.3">
      <c r="A66" t="s">
        <v>253</v>
      </c>
      <c r="B66" t="s">
        <v>301</v>
      </c>
      <c r="C66" t="s">
        <v>519</v>
      </c>
      <c r="N66">
        <v>99.000370274506295</v>
      </c>
      <c r="O66">
        <v>99.070524432531542</v>
      </c>
      <c r="P66">
        <v>99.150016593479322</v>
      </c>
      <c r="Q66">
        <v>99.148491823626372</v>
      </c>
      <c r="R66">
        <v>99.135524542063621</v>
      </c>
      <c r="S66">
        <v>99.259456949116071</v>
      </c>
      <c r="T66">
        <v>99.219308006236744</v>
      </c>
      <c r="U66">
        <v>99.338990832169841</v>
      </c>
      <c r="V66">
        <v>99.3776072797545</v>
      </c>
      <c r="W66">
        <v>99.448562160113681</v>
      </c>
      <c r="X66">
        <v>99.608622454701774</v>
      </c>
      <c r="Y66">
        <v>99.617475422920123</v>
      </c>
      <c r="Z66">
        <v>99.694632111673556</v>
      </c>
      <c r="AA66">
        <v>99.728652515568029</v>
      </c>
      <c r="AB66">
        <v>99.784772412066374</v>
      </c>
      <c r="AC66">
        <v>99.767658987791634</v>
      </c>
      <c r="AD66">
        <v>99.865960030528854</v>
      </c>
      <c r="AE66">
        <v>99.918292552999134</v>
      </c>
      <c r="AF66">
        <v>99.942070928630372</v>
      </c>
      <c r="AG66">
        <v>99.965774472589871</v>
      </c>
      <c r="AH66">
        <v>99.977430201876857</v>
      </c>
      <c r="AI66">
        <v>99.961646483551647</v>
      </c>
      <c r="AJ66">
        <v>99.991587547584786</v>
      </c>
      <c r="AK66">
        <v>100</v>
      </c>
      <c r="AL66">
        <v>99.995743198750503</v>
      </c>
    </row>
    <row r="67" spans="1:38" x14ac:dyDescent="0.3">
      <c r="A67" t="s">
        <v>371</v>
      </c>
      <c r="B67" t="s">
        <v>554</v>
      </c>
      <c r="C67" t="s">
        <v>519</v>
      </c>
      <c r="D67">
        <v>100</v>
      </c>
      <c r="E67">
        <v>100</v>
      </c>
      <c r="F67">
        <v>100</v>
      </c>
      <c r="G67">
        <v>100</v>
      </c>
      <c r="H67">
        <v>100</v>
      </c>
      <c r="I67">
        <v>99.997754930142932</v>
      </c>
      <c r="J67">
        <v>99.97059308221894</v>
      </c>
      <c r="K67">
        <v>99.964585078392545</v>
      </c>
      <c r="L67">
        <v>99.966777136562797</v>
      </c>
      <c r="M67">
        <v>99.86935334234505</v>
      </c>
      <c r="N67">
        <v>99.115307061353533</v>
      </c>
      <c r="O67">
        <v>99.16555077450262</v>
      </c>
      <c r="P67">
        <v>99.203941671040951</v>
      </c>
      <c r="Q67">
        <v>99.213032599569246</v>
      </c>
      <c r="R67">
        <v>99.239007350100806</v>
      </c>
      <c r="S67">
        <v>99.279900434973882</v>
      </c>
      <c r="T67">
        <v>99.30135947881621</v>
      </c>
      <c r="U67">
        <v>99.363080356470491</v>
      </c>
      <c r="V67">
        <v>99.408096140628302</v>
      </c>
      <c r="W67">
        <v>99.466168576063126</v>
      </c>
      <c r="X67">
        <v>99.665442512286361</v>
      </c>
      <c r="Y67">
        <v>99.66390276429054</v>
      </c>
      <c r="Z67">
        <v>99.828191622623507</v>
      </c>
      <c r="AA67">
        <v>99.849521204965328</v>
      </c>
      <c r="AB67">
        <v>99.876136969936553</v>
      </c>
      <c r="AC67">
        <v>99.167779339608757</v>
      </c>
      <c r="AD67">
        <v>99.828990028623281</v>
      </c>
      <c r="AE67">
        <v>99.964148625189992</v>
      </c>
      <c r="AF67">
        <v>99.970774676356925</v>
      </c>
      <c r="AG67">
        <v>99.953452226256758</v>
      </c>
      <c r="AH67">
        <v>99.976027325197109</v>
      </c>
      <c r="AI67">
        <v>99.988193052202078</v>
      </c>
      <c r="AJ67">
        <v>99.997731634024049</v>
      </c>
      <c r="AK67">
        <v>100</v>
      </c>
      <c r="AL67">
        <v>99.998857471372958</v>
      </c>
    </row>
    <row r="68" spans="1:38" x14ac:dyDescent="0.3">
      <c r="A68" t="s">
        <v>227</v>
      </c>
      <c r="B68" t="s">
        <v>101</v>
      </c>
      <c r="C68" t="s">
        <v>519</v>
      </c>
      <c r="I68">
        <v>89.830167000000003</v>
      </c>
      <c r="J68">
        <v>92.051376342773395</v>
      </c>
      <c r="K68">
        <v>92.429817199707003</v>
      </c>
      <c r="L68">
        <v>92.726641999999998</v>
      </c>
      <c r="M68">
        <v>93.071433999999996</v>
      </c>
      <c r="N68">
        <v>93.7</v>
      </c>
      <c r="O68">
        <v>94</v>
      </c>
      <c r="P68">
        <v>94.2</v>
      </c>
      <c r="Q68">
        <v>95</v>
      </c>
      <c r="R68">
        <v>94.8</v>
      </c>
      <c r="S68">
        <v>95.8</v>
      </c>
      <c r="T68">
        <v>96.3</v>
      </c>
      <c r="U68">
        <v>96.8</v>
      </c>
      <c r="V68">
        <v>97.2</v>
      </c>
      <c r="W68">
        <v>96.5</v>
      </c>
      <c r="X68">
        <v>97.5</v>
      </c>
      <c r="Y68">
        <v>96.9</v>
      </c>
      <c r="Z68">
        <v>97.2</v>
      </c>
      <c r="AA68">
        <v>98</v>
      </c>
      <c r="AB68">
        <v>99</v>
      </c>
      <c r="AC68">
        <v>98.8</v>
      </c>
      <c r="AD68">
        <v>98.7</v>
      </c>
      <c r="AE68">
        <v>99.2</v>
      </c>
      <c r="AF68">
        <v>98.7</v>
      </c>
      <c r="AG68">
        <v>99.1</v>
      </c>
      <c r="AH68">
        <v>98.8</v>
      </c>
      <c r="AI68">
        <v>100</v>
      </c>
      <c r="AJ68">
        <v>100</v>
      </c>
      <c r="AK68">
        <v>98.7</v>
      </c>
      <c r="AL68">
        <v>98.5</v>
      </c>
    </row>
    <row r="69" spans="1:38" x14ac:dyDescent="0.3">
      <c r="A69" t="s">
        <v>238</v>
      </c>
      <c r="B69" t="s">
        <v>637</v>
      </c>
      <c r="C69" t="s">
        <v>519</v>
      </c>
      <c r="F69">
        <v>93.4</v>
      </c>
      <c r="G69">
        <v>95.392242431640597</v>
      </c>
      <c r="H69">
        <v>95.648536682128906</v>
      </c>
      <c r="I69">
        <v>95.5</v>
      </c>
      <c r="J69">
        <v>96.154327392578097</v>
      </c>
      <c r="K69">
        <v>96.4024658203125</v>
      </c>
      <c r="L69">
        <v>96.646522521972699</v>
      </c>
      <c r="M69">
        <v>96.885734558105497</v>
      </c>
      <c r="N69">
        <v>97.7</v>
      </c>
      <c r="O69">
        <v>97.4</v>
      </c>
      <c r="P69">
        <v>97.5</v>
      </c>
      <c r="Q69">
        <v>98.8</v>
      </c>
      <c r="R69">
        <v>97.8</v>
      </c>
      <c r="S69">
        <v>99.4</v>
      </c>
      <c r="T69">
        <v>99</v>
      </c>
      <c r="U69">
        <v>98.4</v>
      </c>
      <c r="V69">
        <v>99.8</v>
      </c>
      <c r="W69">
        <v>98.9</v>
      </c>
      <c r="X69">
        <v>99.4</v>
      </c>
      <c r="Y69">
        <v>99.4</v>
      </c>
      <c r="Z69">
        <v>99.7</v>
      </c>
      <c r="AA69">
        <v>99.9</v>
      </c>
      <c r="AB69">
        <v>99.8</v>
      </c>
      <c r="AC69">
        <v>99.3</v>
      </c>
      <c r="AD69">
        <v>100</v>
      </c>
      <c r="AE69">
        <v>100</v>
      </c>
      <c r="AF69">
        <v>100</v>
      </c>
      <c r="AG69">
        <v>100</v>
      </c>
      <c r="AH69">
        <v>100</v>
      </c>
      <c r="AI69">
        <v>100</v>
      </c>
      <c r="AJ69">
        <v>100</v>
      </c>
      <c r="AK69">
        <v>100</v>
      </c>
      <c r="AL69">
        <v>100</v>
      </c>
    </row>
    <row r="70" spans="1:38" x14ac:dyDescent="0.3">
      <c r="A70" t="s">
        <v>130</v>
      </c>
      <c r="B70" t="s">
        <v>381</v>
      </c>
      <c r="C70" t="s">
        <v>519</v>
      </c>
      <c r="D70">
        <v>100</v>
      </c>
      <c r="E70">
        <v>100</v>
      </c>
      <c r="F70">
        <v>100</v>
      </c>
      <c r="G70">
        <v>100</v>
      </c>
      <c r="H70">
        <v>100</v>
      </c>
      <c r="I70">
        <v>100</v>
      </c>
      <c r="J70">
        <v>100</v>
      </c>
      <c r="K70">
        <v>100</v>
      </c>
      <c r="L70">
        <v>100</v>
      </c>
      <c r="M70">
        <v>100</v>
      </c>
      <c r="N70">
        <v>99.702923618624851</v>
      </c>
      <c r="O70">
        <v>99.721464296791396</v>
      </c>
      <c r="P70">
        <v>99.73847415663171</v>
      </c>
      <c r="Q70">
        <v>99.753387835007047</v>
      </c>
      <c r="R70">
        <v>99.765982277892149</v>
      </c>
      <c r="S70">
        <v>99.778579125556902</v>
      </c>
      <c r="T70">
        <v>99.792661996831001</v>
      </c>
      <c r="U70">
        <v>99.808347463673982</v>
      </c>
      <c r="V70">
        <v>99.826060915233327</v>
      </c>
      <c r="W70">
        <v>99.843383388761083</v>
      </c>
      <c r="X70">
        <v>99.858150643991337</v>
      </c>
      <c r="Y70">
        <v>99.871517126944752</v>
      </c>
      <c r="Z70">
        <v>99.888862001206874</v>
      </c>
      <c r="AA70">
        <v>99.903520446207011</v>
      </c>
      <c r="AB70">
        <v>99.916972608255037</v>
      </c>
      <c r="AC70">
        <v>99.932185155941482</v>
      </c>
      <c r="AD70">
        <v>99.946972258120354</v>
      </c>
      <c r="AE70">
        <v>99.963236383711816</v>
      </c>
      <c r="AF70">
        <v>99.975237188272445</v>
      </c>
      <c r="AG70">
        <v>99.985009399546101</v>
      </c>
      <c r="AH70">
        <v>99.994441289877685</v>
      </c>
      <c r="AI70">
        <v>99.996320600842353</v>
      </c>
      <c r="AJ70">
        <v>100</v>
      </c>
      <c r="AK70">
        <v>100</v>
      </c>
      <c r="AL70">
        <v>100</v>
      </c>
    </row>
    <row r="71" spans="1:38" x14ac:dyDescent="0.3">
      <c r="A71" t="s">
        <v>690</v>
      </c>
      <c r="B71" t="s">
        <v>156</v>
      </c>
      <c r="C71" t="s">
        <v>519</v>
      </c>
      <c r="I71">
        <v>22.9</v>
      </c>
      <c r="J71">
        <v>24.755447387695298</v>
      </c>
      <c r="K71">
        <v>25.874610900878899</v>
      </c>
      <c r="L71">
        <v>26.9896945953369</v>
      </c>
      <c r="M71">
        <v>28.0999355316162</v>
      </c>
      <c r="N71">
        <v>29.3</v>
      </c>
      <c r="O71">
        <v>30.3</v>
      </c>
      <c r="P71">
        <v>32.200000000000003</v>
      </c>
      <c r="Q71">
        <v>32.4</v>
      </c>
      <c r="R71">
        <v>33.4</v>
      </c>
      <c r="S71">
        <v>34.5</v>
      </c>
      <c r="T71">
        <v>35.6</v>
      </c>
      <c r="U71">
        <v>36.700000000000003</v>
      </c>
      <c r="V71">
        <v>37.799999999999997</v>
      </c>
      <c r="W71">
        <v>38.9</v>
      </c>
      <c r="X71">
        <v>40.1</v>
      </c>
      <c r="Y71">
        <v>41.2</v>
      </c>
      <c r="Z71">
        <v>42.3</v>
      </c>
      <c r="AA71">
        <v>43.5</v>
      </c>
      <c r="AB71">
        <v>44.6</v>
      </c>
      <c r="AC71">
        <v>45.8</v>
      </c>
      <c r="AD71">
        <v>46.9</v>
      </c>
      <c r="AE71">
        <v>48</v>
      </c>
      <c r="AF71">
        <v>49.1</v>
      </c>
      <c r="AG71">
        <v>50.3</v>
      </c>
      <c r="AH71">
        <v>51.4</v>
      </c>
      <c r="AI71">
        <v>52.5</v>
      </c>
      <c r="AJ71">
        <v>55.4</v>
      </c>
      <c r="AK71">
        <v>54.4</v>
      </c>
      <c r="AL71">
        <v>55.3</v>
      </c>
    </row>
    <row r="72" spans="1:38" x14ac:dyDescent="0.3">
      <c r="A72" t="s">
        <v>75</v>
      </c>
      <c r="B72" t="s">
        <v>232</v>
      </c>
      <c r="C72" t="s">
        <v>519</v>
      </c>
      <c r="D72">
        <v>100</v>
      </c>
      <c r="E72">
        <v>100</v>
      </c>
      <c r="F72">
        <v>100</v>
      </c>
      <c r="G72">
        <v>100</v>
      </c>
      <c r="H72">
        <v>100</v>
      </c>
      <c r="I72">
        <v>100</v>
      </c>
      <c r="J72">
        <v>100</v>
      </c>
      <c r="K72">
        <v>100</v>
      </c>
      <c r="L72">
        <v>100</v>
      </c>
      <c r="M72">
        <v>100</v>
      </c>
      <c r="N72">
        <v>100</v>
      </c>
      <c r="O72">
        <v>100</v>
      </c>
      <c r="P72">
        <v>100</v>
      </c>
      <c r="Q72">
        <v>100</v>
      </c>
      <c r="R72">
        <v>100</v>
      </c>
      <c r="S72">
        <v>100</v>
      </c>
      <c r="T72">
        <v>100</v>
      </c>
      <c r="U72">
        <v>100</v>
      </c>
      <c r="V72">
        <v>100</v>
      </c>
      <c r="W72">
        <v>100</v>
      </c>
      <c r="X72">
        <v>100</v>
      </c>
      <c r="Y72">
        <v>100</v>
      </c>
      <c r="Z72">
        <v>100</v>
      </c>
      <c r="AA72">
        <v>100</v>
      </c>
      <c r="AB72">
        <v>100</v>
      </c>
      <c r="AC72">
        <v>100</v>
      </c>
      <c r="AD72">
        <v>100</v>
      </c>
      <c r="AE72">
        <v>100</v>
      </c>
      <c r="AF72">
        <v>100</v>
      </c>
      <c r="AG72">
        <v>100</v>
      </c>
      <c r="AH72">
        <v>100</v>
      </c>
      <c r="AI72">
        <v>100</v>
      </c>
      <c r="AJ72">
        <v>100</v>
      </c>
      <c r="AK72">
        <v>100</v>
      </c>
      <c r="AL72">
        <v>100</v>
      </c>
    </row>
    <row r="73" spans="1:38" x14ac:dyDescent="0.3">
      <c r="A73" t="s">
        <v>486</v>
      </c>
      <c r="B73" t="s">
        <v>624</v>
      </c>
      <c r="C73" t="s">
        <v>519</v>
      </c>
      <c r="D73">
        <v>100</v>
      </c>
      <c r="E73">
        <v>100</v>
      </c>
      <c r="F73">
        <v>100</v>
      </c>
      <c r="G73">
        <v>100</v>
      </c>
      <c r="H73">
        <v>100</v>
      </c>
      <c r="I73">
        <v>100</v>
      </c>
      <c r="J73">
        <v>100</v>
      </c>
      <c r="K73">
        <v>100</v>
      </c>
      <c r="L73">
        <v>100</v>
      </c>
      <c r="M73">
        <v>100</v>
      </c>
      <c r="N73">
        <v>100</v>
      </c>
      <c r="O73">
        <v>100</v>
      </c>
      <c r="P73">
        <v>100</v>
      </c>
      <c r="Q73">
        <v>100</v>
      </c>
      <c r="R73">
        <v>100</v>
      </c>
      <c r="S73">
        <v>100</v>
      </c>
      <c r="T73">
        <v>100</v>
      </c>
      <c r="U73">
        <v>100</v>
      </c>
      <c r="V73">
        <v>100</v>
      </c>
      <c r="W73">
        <v>100</v>
      </c>
      <c r="X73">
        <v>100</v>
      </c>
      <c r="Y73">
        <v>100</v>
      </c>
      <c r="Z73">
        <v>100</v>
      </c>
      <c r="AA73">
        <v>100</v>
      </c>
      <c r="AB73">
        <v>100</v>
      </c>
      <c r="AC73">
        <v>100</v>
      </c>
      <c r="AD73">
        <v>100</v>
      </c>
      <c r="AE73">
        <v>100</v>
      </c>
      <c r="AF73">
        <v>100</v>
      </c>
      <c r="AG73">
        <v>100</v>
      </c>
      <c r="AH73">
        <v>100</v>
      </c>
      <c r="AI73">
        <v>100</v>
      </c>
      <c r="AJ73">
        <v>100</v>
      </c>
      <c r="AK73">
        <v>100</v>
      </c>
      <c r="AL73">
        <v>100</v>
      </c>
    </row>
    <row r="74" spans="1:38" x14ac:dyDescent="0.3">
      <c r="A74" t="s">
        <v>143</v>
      </c>
      <c r="B74" t="s">
        <v>93</v>
      </c>
      <c r="C74" t="s">
        <v>519</v>
      </c>
      <c r="N74">
        <v>12.7</v>
      </c>
      <c r="O74">
        <v>10.199999999999999</v>
      </c>
      <c r="P74">
        <v>11.9</v>
      </c>
      <c r="Q74">
        <v>13.5</v>
      </c>
      <c r="R74">
        <v>15.2</v>
      </c>
      <c r="S74">
        <v>14</v>
      </c>
      <c r="T74">
        <v>18.600000000000001</v>
      </c>
      <c r="U74">
        <v>20.3</v>
      </c>
      <c r="V74">
        <v>22</v>
      </c>
      <c r="W74">
        <v>23.7</v>
      </c>
      <c r="X74">
        <v>25.5</v>
      </c>
      <c r="Y74">
        <v>23</v>
      </c>
      <c r="Z74">
        <v>29</v>
      </c>
      <c r="AA74">
        <v>30.8</v>
      </c>
      <c r="AB74">
        <v>27.2</v>
      </c>
      <c r="AC74">
        <v>29</v>
      </c>
      <c r="AD74">
        <v>42.9</v>
      </c>
      <c r="AE74">
        <v>44.3</v>
      </c>
      <c r="AF74">
        <v>44.8</v>
      </c>
      <c r="AG74">
        <v>48</v>
      </c>
      <c r="AH74">
        <v>51.1</v>
      </c>
      <c r="AI74">
        <v>54.2</v>
      </c>
      <c r="AJ74">
        <v>55</v>
      </c>
      <c r="AK74">
        <v>55.4</v>
      </c>
      <c r="AL74">
        <v>56.6</v>
      </c>
    </row>
    <row r="75" spans="1:38" x14ac:dyDescent="0.3">
      <c r="A75" t="s">
        <v>40</v>
      </c>
      <c r="B75" t="s">
        <v>668</v>
      </c>
      <c r="C75" t="s">
        <v>519</v>
      </c>
      <c r="D75">
        <v>100</v>
      </c>
      <c r="E75">
        <v>100</v>
      </c>
      <c r="F75">
        <v>100</v>
      </c>
      <c r="G75">
        <v>100</v>
      </c>
      <c r="H75">
        <v>100</v>
      </c>
      <c r="I75">
        <v>100</v>
      </c>
      <c r="J75">
        <v>100</v>
      </c>
      <c r="K75">
        <v>100</v>
      </c>
      <c r="L75">
        <v>100</v>
      </c>
      <c r="M75">
        <v>100</v>
      </c>
      <c r="N75">
        <v>99.476189858031162</v>
      </c>
      <c r="O75">
        <v>99.505044484184651</v>
      </c>
      <c r="P75">
        <v>99.538715857932786</v>
      </c>
      <c r="Q75">
        <v>99.553990720591571</v>
      </c>
      <c r="R75">
        <v>99.575824833185806</v>
      </c>
      <c r="S75">
        <v>99.591370729411423</v>
      </c>
      <c r="T75">
        <v>99.618839647241501</v>
      </c>
      <c r="U75">
        <v>99.646407525503378</v>
      </c>
      <c r="V75">
        <v>99.68253039966531</v>
      </c>
      <c r="W75">
        <v>99.72900757061511</v>
      </c>
      <c r="X75">
        <v>99.755397253096334</v>
      </c>
      <c r="Y75">
        <v>99.780117832354222</v>
      </c>
      <c r="Z75">
        <v>99.812588699587806</v>
      </c>
      <c r="AA75">
        <v>99.838117375272702</v>
      </c>
      <c r="AB75">
        <v>99.86260295522483</v>
      </c>
      <c r="AC75">
        <v>99.89291160325935</v>
      </c>
      <c r="AD75">
        <v>99.918263719409296</v>
      </c>
      <c r="AE75">
        <v>99.970972427847911</v>
      </c>
      <c r="AF75">
        <v>99.971710363708766</v>
      </c>
      <c r="AG75">
        <v>99.988155612014737</v>
      </c>
      <c r="AH75">
        <v>99.995602290190433</v>
      </c>
      <c r="AI75">
        <v>99.997083420627035</v>
      </c>
      <c r="AJ75">
        <v>100</v>
      </c>
      <c r="AK75">
        <v>100</v>
      </c>
      <c r="AL75">
        <v>100</v>
      </c>
    </row>
    <row r="76" spans="1:38" x14ac:dyDescent="0.3">
      <c r="A76" t="s">
        <v>51</v>
      </c>
      <c r="B76" t="s">
        <v>26</v>
      </c>
      <c r="C76" t="s">
        <v>519</v>
      </c>
      <c r="D76">
        <v>100</v>
      </c>
      <c r="E76">
        <v>100</v>
      </c>
      <c r="F76">
        <v>100</v>
      </c>
      <c r="G76">
        <v>100</v>
      </c>
      <c r="H76">
        <v>100</v>
      </c>
      <c r="I76">
        <v>100</v>
      </c>
      <c r="J76">
        <v>100</v>
      </c>
      <c r="K76">
        <v>100</v>
      </c>
      <c r="L76">
        <v>100</v>
      </c>
      <c r="M76">
        <v>100</v>
      </c>
      <c r="N76">
        <v>100</v>
      </c>
      <c r="O76">
        <v>100</v>
      </c>
      <c r="P76">
        <v>100</v>
      </c>
      <c r="Q76">
        <v>100</v>
      </c>
      <c r="R76">
        <v>100</v>
      </c>
      <c r="S76">
        <v>100</v>
      </c>
      <c r="T76">
        <v>100</v>
      </c>
      <c r="U76">
        <v>100</v>
      </c>
      <c r="V76">
        <v>100</v>
      </c>
      <c r="W76">
        <v>100</v>
      </c>
      <c r="X76">
        <v>100</v>
      </c>
      <c r="Y76">
        <v>100</v>
      </c>
      <c r="Z76">
        <v>100</v>
      </c>
      <c r="AA76">
        <v>100</v>
      </c>
      <c r="AB76">
        <v>100</v>
      </c>
      <c r="AC76">
        <v>100</v>
      </c>
      <c r="AD76">
        <v>100</v>
      </c>
      <c r="AE76">
        <v>100</v>
      </c>
      <c r="AF76">
        <v>100</v>
      </c>
      <c r="AG76">
        <v>100</v>
      </c>
      <c r="AH76">
        <v>100</v>
      </c>
      <c r="AI76">
        <v>100</v>
      </c>
      <c r="AJ76">
        <v>100</v>
      </c>
      <c r="AK76">
        <v>100</v>
      </c>
      <c r="AL76">
        <v>100</v>
      </c>
    </row>
    <row r="77" spans="1:38" x14ac:dyDescent="0.3">
      <c r="A77" t="s">
        <v>135</v>
      </c>
      <c r="B77" t="s">
        <v>363</v>
      </c>
      <c r="C77" t="s">
        <v>519</v>
      </c>
      <c r="J77">
        <v>66.900000000000006</v>
      </c>
      <c r="K77">
        <v>71.771514892578097</v>
      </c>
      <c r="L77">
        <v>73.089584350585895</v>
      </c>
      <c r="M77">
        <v>74.402816772460895</v>
      </c>
      <c r="N77">
        <v>76.8</v>
      </c>
      <c r="O77">
        <v>77.7</v>
      </c>
      <c r="P77">
        <v>79.599999999999994</v>
      </c>
      <c r="Q77">
        <v>80</v>
      </c>
      <c r="R77">
        <v>80.599999999999994</v>
      </c>
      <c r="S77">
        <v>81.599999999999994</v>
      </c>
      <c r="T77">
        <v>82.6</v>
      </c>
      <c r="U77">
        <v>88.9</v>
      </c>
      <c r="V77">
        <v>86.2</v>
      </c>
      <c r="W77">
        <v>85.6</v>
      </c>
      <c r="X77">
        <v>92.4</v>
      </c>
      <c r="Y77">
        <v>92.5</v>
      </c>
      <c r="Z77">
        <v>92.6</v>
      </c>
      <c r="AA77">
        <v>91.8</v>
      </c>
      <c r="AB77">
        <v>93</v>
      </c>
      <c r="AC77">
        <v>93.2</v>
      </c>
      <c r="AD77">
        <v>93.4</v>
      </c>
      <c r="AE77">
        <v>96</v>
      </c>
      <c r="AF77">
        <v>95.1</v>
      </c>
      <c r="AG77">
        <v>96.1</v>
      </c>
      <c r="AH77">
        <v>97.1</v>
      </c>
      <c r="AI77">
        <v>92.1</v>
      </c>
      <c r="AJ77">
        <v>92</v>
      </c>
      <c r="AK77">
        <v>99.3</v>
      </c>
      <c r="AL77">
        <v>95.9</v>
      </c>
    </row>
    <row r="78" spans="1:38" x14ac:dyDescent="0.3">
      <c r="A78" t="s">
        <v>353</v>
      </c>
      <c r="B78" t="s">
        <v>595</v>
      </c>
      <c r="C78" t="s">
        <v>519</v>
      </c>
      <c r="D78">
        <v>100</v>
      </c>
      <c r="E78">
        <v>100</v>
      </c>
      <c r="F78">
        <v>100</v>
      </c>
      <c r="G78">
        <v>100</v>
      </c>
      <c r="H78">
        <v>100</v>
      </c>
      <c r="I78">
        <v>100</v>
      </c>
      <c r="J78">
        <v>100</v>
      </c>
      <c r="K78">
        <v>100</v>
      </c>
      <c r="L78">
        <v>100</v>
      </c>
      <c r="M78">
        <v>100</v>
      </c>
      <c r="N78">
        <v>100</v>
      </c>
      <c r="O78">
        <v>100</v>
      </c>
      <c r="P78">
        <v>100</v>
      </c>
      <c r="Q78">
        <v>100</v>
      </c>
      <c r="R78">
        <v>100</v>
      </c>
      <c r="S78">
        <v>100</v>
      </c>
      <c r="T78">
        <v>100</v>
      </c>
      <c r="U78">
        <v>100</v>
      </c>
      <c r="V78">
        <v>100</v>
      </c>
      <c r="W78">
        <v>100</v>
      </c>
      <c r="X78">
        <v>100</v>
      </c>
      <c r="Y78">
        <v>100</v>
      </c>
      <c r="Z78">
        <v>100</v>
      </c>
      <c r="AA78">
        <v>100</v>
      </c>
      <c r="AB78">
        <v>100</v>
      </c>
      <c r="AC78">
        <v>100</v>
      </c>
      <c r="AD78">
        <v>100</v>
      </c>
      <c r="AE78">
        <v>100</v>
      </c>
      <c r="AF78">
        <v>100</v>
      </c>
      <c r="AG78">
        <v>100</v>
      </c>
      <c r="AH78">
        <v>100</v>
      </c>
      <c r="AI78">
        <v>100</v>
      </c>
      <c r="AJ78">
        <v>100</v>
      </c>
      <c r="AK78">
        <v>100</v>
      </c>
      <c r="AL78">
        <v>100</v>
      </c>
    </row>
    <row r="79" spans="1:38" x14ac:dyDescent="0.3">
      <c r="A79" t="s">
        <v>319</v>
      </c>
      <c r="B79" t="s">
        <v>442</v>
      </c>
      <c r="C79" t="s">
        <v>519</v>
      </c>
      <c r="D79">
        <v>100</v>
      </c>
      <c r="E79">
        <v>100</v>
      </c>
      <c r="F79">
        <v>100</v>
      </c>
      <c r="G79">
        <v>100</v>
      </c>
      <c r="H79">
        <v>100</v>
      </c>
      <c r="I79">
        <v>100</v>
      </c>
      <c r="J79">
        <v>100</v>
      </c>
      <c r="K79">
        <v>100</v>
      </c>
      <c r="L79">
        <v>100</v>
      </c>
      <c r="M79">
        <v>100</v>
      </c>
      <c r="N79">
        <v>100</v>
      </c>
      <c r="O79">
        <v>100</v>
      </c>
      <c r="P79">
        <v>100</v>
      </c>
      <c r="Q79">
        <v>100</v>
      </c>
      <c r="R79">
        <v>100</v>
      </c>
      <c r="S79">
        <v>100</v>
      </c>
      <c r="T79">
        <v>100</v>
      </c>
      <c r="U79">
        <v>100</v>
      </c>
      <c r="V79">
        <v>100</v>
      </c>
      <c r="W79">
        <v>100</v>
      </c>
      <c r="X79">
        <v>100</v>
      </c>
      <c r="Y79">
        <v>100</v>
      </c>
      <c r="Z79">
        <v>100</v>
      </c>
      <c r="AA79">
        <v>100</v>
      </c>
      <c r="AB79">
        <v>100</v>
      </c>
      <c r="AC79">
        <v>100</v>
      </c>
      <c r="AD79">
        <v>100</v>
      </c>
      <c r="AE79">
        <v>100</v>
      </c>
      <c r="AF79">
        <v>100</v>
      </c>
      <c r="AG79">
        <v>100</v>
      </c>
      <c r="AH79">
        <v>100</v>
      </c>
      <c r="AI79">
        <v>100</v>
      </c>
      <c r="AJ79">
        <v>100</v>
      </c>
      <c r="AK79">
        <v>100</v>
      </c>
      <c r="AL79">
        <v>100</v>
      </c>
    </row>
    <row r="80" spans="1:38" x14ac:dyDescent="0.3">
      <c r="A80" t="s">
        <v>361</v>
      </c>
      <c r="B80" t="s">
        <v>259</v>
      </c>
      <c r="C80" t="s">
        <v>519</v>
      </c>
      <c r="N80">
        <v>46</v>
      </c>
      <c r="O80">
        <v>48.4</v>
      </c>
      <c r="P80">
        <v>50.1</v>
      </c>
      <c r="Q80">
        <v>51.8</v>
      </c>
      <c r="R80">
        <v>53.5</v>
      </c>
      <c r="S80">
        <v>55.2</v>
      </c>
      <c r="T80">
        <v>57</v>
      </c>
      <c r="U80">
        <v>58.7</v>
      </c>
      <c r="V80">
        <v>60.5</v>
      </c>
      <c r="W80">
        <v>62.2</v>
      </c>
      <c r="X80">
        <v>64.5</v>
      </c>
      <c r="Y80">
        <v>66.3</v>
      </c>
      <c r="Z80">
        <v>67.8</v>
      </c>
      <c r="AA80">
        <v>69.400000000000006</v>
      </c>
      <c r="AB80">
        <v>71.2</v>
      </c>
      <c r="AC80">
        <v>73</v>
      </c>
      <c r="AD80">
        <v>74.8</v>
      </c>
      <c r="AE80">
        <v>76.5</v>
      </c>
      <c r="AF80">
        <v>78.3</v>
      </c>
      <c r="AG80">
        <v>80.099999999999994</v>
      </c>
      <c r="AH80">
        <v>81.900000000000006</v>
      </c>
      <c r="AI80">
        <v>83.6</v>
      </c>
      <c r="AJ80">
        <v>85.3</v>
      </c>
      <c r="AK80">
        <v>86.9</v>
      </c>
      <c r="AL80">
        <v>88.9</v>
      </c>
    </row>
    <row r="81" spans="1:38" x14ac:dyDescent="0.3">
      <c r="A81" t="s">
        <v>471</v>
      </c>
      <c r="B81" t="s">
        <v>345</v>
      </c>
      <c r="C81" t="s">
        <v>519</v>
      </c>
      <c r="N81">
        <v>73.599999999999994</v>
      </c>
      <c r="O81">
        <v>77.2</v>
      </c>
      <c r="P81">
        <v>77.8</v>
      </c>
      <c r="Q81">
        <v>78.5</v>
      </c>
      <c r="R81">
        <v>79.2</v>
      </c>
      <c r="S81">
        <v>81.599999999999994</v>
      </c>
      <c r="T81">
        <v>80.5</v>
      </c>
      <c r="U81">
        <v>81.3</v>
      </c>
      <c r="V81">
        <v>82</v>
      </c>
      <c r="W81">
        <v>82.7</v>
      </c>
      <c r="X81">
        <v>89.3</v>
      </c>
      <c r="Y81">
        <v>88.7</v>
      </c>
      <c r="Z81">
        <v>89.3</v>
      </c>
      <c r="AA81">
        <v>86.4</v>
      </c>
      <c r="AB81">
        <v>87.1</v>
      </c>
      <c r="AC81">
        <v>87.3</v>
      </c>
      <c r="AD81">
        <v>88.1</v>
      </c>
      <c r="AE81">
        <v>86.3</v>
      </c>
      <c r="AF81">
        <v>89.6</v>
      </c>
      <c r="AG81">
        <v>90.3</v>
      </c>
      <c r="AH81">
        <v>91.1</v>
      </c>
      <c r="AI81">
        <v>91.8</v>
      </c>
      <c r="AJ81">
        <v>93.5</v>
      </c>
      <c r="AK81">
        <v>94.1</v>
      </c>
      <c r="AL81">
        <v>95.1</v>
      </c>
    </row>
    <row r="82" spans="1:38" x14ac:dyDescent="0.3">
      <c r="A82" t="s">
        <v>634</v>
      </c>
      <c r="B82" t="s">
        <v>556</v>
      </c>
      <c r="C82" t="s">
        <v>519</v>
      </c>
      <c r="D82">
        <v>100</v>
      </c>
      <c r="E82">
        <v>100</v>
      </c>
      <c r="F82">
        <v>100</v>
      </c>
      <c r="G82">
        <v>100</v>
      </c>
      <c r="H82">
        <v>100</v>
      </c>
      <c r="I82">
        <v>100</v>
      </c>
      <c r="J82">
        <v>100</v>
      </c>
      <c r="K82">
        <v>100</v>
      </c>
      <c r="L82">
        <v>100</v>
      </c>
      <c r="M82">
        <v>100</v>
      </c>
      <c r="N82">
        <v>100</v>
      </c>
      <c r="O82">
        <v>100</v>
      </c>
      <c r="P82">
        <v>100</v>
      </c>
      <c r="Q82">
        <v>100</v>
      </c>
      <c r="R82">
        <v>100</v>
      </c>
      <c r="S82">
        <v>100</v>
      </c>
      <c r="T82">
        <v>100</v>
      </c>
      <c r="U82">
        <v>100</v>
      </c>
      <c r="V82">
        <v>100</v>
      </c>
      <c r="W82">
        <v>100</v>
      </c>
      <c r="X82">
        <v>100</v>
      </c>
      <c r="Y82">
        <v>100</v>
      </c>
      <c r="Z82">
        <v>100</v>
      </c>
      <c r="AA82">
        <v>100</v>
      </c>
      <c r="AB82">
        <v>100</v>
      </c>
      <c r="AC82">
        <v>100</v>
      </c>
      <c r="AD82">
        <v>100</v>
      </c>
      <c r="AE82">
        <v>100</v>
      </c>
      <c r="AF82">
        <v>100</v>
      </c>
      <c r="AG82">
        <v>100</v>
      </c>
      <c r="AH82">
        <v>100</v>
      </c>
      <c r="AI82">
        <v>100</v>
      </c>
      <c r="AJ82">
        <v>100</v>
      </c>
      <c r="AK82">
        <v>100</v>
      </c>
      <c r="AL82">
        <v>100</v>
      </c>
    </row>
    <row r="83" spans="1:38" x14ac:dyDescent="0.3">
      <c r="A83" t="s">
        <v>588</v>
      </c>
      <c r="B83" t="s">
        <v>437</v>
      </c>
      <c r="C83" t="s">
        <v>519</v>
      </c>
      <c r="N83">
        <v>99.8</v>
      </c>
      <c r="O83">
        <v>99.8</v>
      </c>
      <c r="P83">
        <v>99.9</v>
      </c>
      <c r="Q83">
        <v>100</v>
      </c>
      <c r="R83">
        <v>99.9</v>
      </c>
      <c r="S83">
        <v>97.9</v>
      </c>
      <c r="T83">
        <v>100</v>
      </c>
      <c r="U83">
        <v>100</v>
      </c>
      <c r="V83">
        <v>100</v>
      </c>
      <c r="W83">
        <v>100</v>
      </c>
      <c r="X83">
        <v>100</v>
      </c>
      <c r="Y83">
        <v>100</v>
      </c>
      <c r="Z83">
        <v>100</v>
      </c>
      <c r="AA83">
        <v>100</v>
      </c>
      <c r="AB83">
        <v>100</v>
      </c>
      <c r="AC83">
        <v>100</v>
      </c>
      <c r="AD83">
        <v>100</v>
      </c>
      <c r="AE83">
        <v>100</v>
      </c>
      <c r="AF83">
        <v>99.9</v>
      </c>
      <c r="AG83">
        <v>100</v>
      </c>
      <c r="AH83">
        <v>100</v>
      </c>
      <c r="AI83">
        <v>100</v>
      </c>
      <c r="AJ83">
        <v>100</v>
      </c>
      <c r="AK83">
        <v>100</v>
      </c>
      <c r="AL83">
        <v>100</v>
      </c>
    </row>
    <row r="84" spans="1:38" x14ac:dyDescent="0.3">
      <c r="A84" t="s">
        <v>153</v>
      </c>
      <c r="B84" t="s">
        <v>520</v>
      </c>
      <c r="C84" t="s">
        <v>519</v>
      </c>
      <c r="G84">
        <v>30.6</v>
      </c>
      <c r="H84">
        <v>30.36940574646</v>
      </c>
      <c r="I84">
        <v>32.450450897216797</v>
      </c>
      <c r="J84">
        <v>34.528770446777301</v>
      </c>
      <c r="K84">
        <v>36.603694915771499</v>
      </c>
      <c r="L84">
        <v>42.6</v>
      </c>
      <c r="M84">
        <v>40.7405395507813</v>
      </c>
      <c r="N84">
        <v>43.7</v>
      </c>
      <c r="O84">
        <v>44.8</v>
      </c>
      <c r="P84">
        <v>46.8</v>
      </c>
      <c r="Q84">
        <v>48.3</v>
      </c>
      <c r="R84">
        <v>50.8</v>
      </c>
      <c r="S84">
        <v>41.2</v>
      </c>
      <c r="T84">
        <v>55.1</v>
      </c>
      <c r="U84">
        <v>56.9</v>
      </c>
      <c r="V84">
        <v>60.5</v>
      </c>
      <c r="W84">
        <v>61.1</v>
      </c>
      <c r="X84">
        <v>64.2</v>
      </c>
      <c r="Y84">
        <v>64.099999999999994</v>
      </c>
      <c r="Z84">
        <v>56.5</v>
      </c>
      <c r="AA84">
        <v>70.7</v>
      </c>
      <c r="AB84">
        <v>78.3</v>
      </c>
      <c r="AC84">
        <v>74</v>
      </c>
      <c r="AD84">
        <v>79.3</v>
      </c>
      <c r="AE84">
        <v>79</v>
      </c>
      <c r="AF84">
        <v>80.400000000000006</v>
      </c>
      <c r="AG84">
        <v>83.5</v>
      </c>
      <c r="AH84">
        <v>85.4</v>
      </c>
      <c r="AI84">
        <v>86.3</v>
      </c>
      <c r="AJ84">
        <v>85.1</v>
      </c>
      <c r="AK84">
        <v>89.5</v>
      </c>
      <c r="AL84">
        <v>91.9</v>
      </c>
    </row>
    <row r="85" spans="1:38" x14ac:dyDescent="0.3">
      <c r="A85" t="s">
        <v>121</v>
      </c>
      <c r="B85" t="s">
        <v>647</v>
      </c>
      <c r="C85" t="s">
        <v>519</v>
      </c>
      <c r="D85">
        <v>100</v>
      </c>
      <c r="E85">
        <v>100</v>
      </c>
      <c r="F85">
        <v>100</v>
      </c>
      <c r="G85">
        <v>100</v>
      </c>
      <c r="H85">
        <v>100</v>
      </c>
      <c r="I85">
        <v>100</v>
      </c>
      <c r="J85">
        <v>100</v>
      </c>
      <c r="K85">
        <v>100</v>
      </c>
      <c r="L85">
        <v>100</v>
      </c>
      <c r="M85">
        <v>100</v>
      </c>
      <c r="N85">
        <v>99.9</v>
      </c>
      <c r="O85">
        <v>99.9</v>
      </c>
      <c r="P85">
        <v>99.8</v>
      </c>
      <c r="Q85">
        <v>99.8</v>
      </c>
      <c r="R85">
        <v>99.7</v>
      </c>
      <c r="S85">
        <v>99.7</v>
      </c>
      <c r="T85">
        <v>99.7</v>
      </c>
      <c r="U85">
        <v>99.7</v>
      </c>
      <c r="V85">
        <v>99.7</v>
      </c>
      <c r="W85">
        <v>100</v>
      </c>
      <c r="X85">
        <v>100</v>
      </c>
      <c r="Y85">
        <v>99.8</v>
      </c>
      <c r="Z85">
        <v>99.9</v>
      </c>
      <c r="AA85">
        <v>99.9</v>
      </c>
      <c r="AB85">
        <v>99.9</v>
      </c>
      <c r="AC85">
        <v>100</v>
      </c>
      <c r="AD85">
        <v>100</v>
      </c>
      <c r="AE85">
        <v>100</v>
      </c>
      <c r="AF85">
        <v>100</v>
      </c>
      <c r="AG85">
        <v>100</v>
      </c>
      <c r="AH85">
        <v>100</v>
      </c>
      <c r="AI85">
        <v>100</v>
      </c>
      <c r="AJ85">
        <v>100</v>
      </c>
      <c r="AK85">
        <v>100</v>
      </c>
      <c r="AL85">
        <v>100</v>
      </c>
    </row>
    <row r="86" spans="1:38" x14ac:dyDescent="0.3">
      <c r="A86" t="s">
        <v>545</v>
      </c>
      <c r="B86" t="s">
        <v>540</v>
      </c>
      <c r="C86" t="s">
        <v>519</v>
      </c>
      <c r="M86">
        <v>16.399999999999999</v>
      </c>
      <c r="N86">
        <v>15.2</v>
      </c>
      <c r="O86">
        <v>16.399999999999999</v>
      </c>
      <c r="P86">
        <v>17.7</v>
      </c>
      <c r="Q86">
        <v>18.899999999999999</v>
      </c>
      <c r="R86">
        <v>20.2</v>
      </c>
      <c r="S86">
        <v>20.2</v>
      </c>
      <c r="T86">
        <v>22.8</v>
      </c>
      <c r="U86">
        <v>24.1</v>
      </c>
      <c r="V86">
        <v>25.4</v>
      </c>
      <c r="W86">
        <v>26.7</v>
      </c>
      <c r="X86">
        <v>28.1</v>
      </c>
      <c r="Y86">
        <v>29.5</v>
      </c>
      <c r="Z86">
        <v>26.2</v>
      </c>
      <c r="AA86">
        <v>32.200000000000003</v>
      </c>
      <c r="AB86">
        <v>33.5</v>
      </c>
      <c r="AC86">
        <v>34.9</v>
      </c>
      <c r="AD86">
        <v>33.5</v>
      </c>
      <c r="AE86">
        <v>35.4</v>
      </c>
      <c r="AF86">
        <v>45</v>
      </c>
      <c r="AG86">
        <v>42.2</v>
      </c>
      <c r="AH86">
        <v>44.7</v>
      </c>
      <c r="AI86">
        <v>46.8</v>
      </c>
      <c r="AJ86">
        <v>47.7</v>
      </c>
      <c r="AK86">
        <v>51.1</v>
      </c>
      <c r="AL86">
        <v>53.8</v>
      </c>
    </row>
    <row r="87" spans="1:38" x14ac:dyDescent="0.3">
      <c r="A87" t="s">
        <v>25</v>
      </c>
      <c r="B87" t="s">
        <v>78</v>
      </c>
      <c r="C87" t="s">
        <v>519</v>
      </c>
      <c r="G87">
        <v>17.7</v>
      </c>
      <c r="H87">
        <v>18.250049591064499</v>
      </c>
      <c r="I87">
        <v>19.921443939208999</v>
      </c>
      <c r="J87">
        <v>21.5901184082031</v>
      </c>
      <c r="K87">
        <v>23.255392074585</v>
      </c>
      <c r="L87">
        <v>24.916587829589801</v>
      </c>
      <c r="M87">
        <v>26.572940826416001</v>
      </c>
      <c r="N87">
        <v>34.299999999999997</v>
      </c>
      <c r="O87">
        <v>29.9</v>
      </c>
      <c r="P87">
        <v>31.5</v>
      </c>
      <c r="Q87">
        <v>27.8</v>
      </c>
      <c r="R87">
        <v>34.799999999999997</v>
      </c>
      <c r="S87">
        <v>30.5</v>
      </c>
      <c r="T87">
        <v>38.1</v>
      </c>
      <c r="U87">
        <v>39.799999999999997</v>
      </c>
      <c r="V87">
        <v>41.5</v>
      </c>
      <c r="W87">
        <v>43.2</v>
      </c>
      <c r="X87">
        <v>46.8</v>
      </c>
      <c r="Y87">
        <v>48.3</v>
      </c>
      <c r="Z87">
        <v>49.9</v>
      </c>
      <c r="AA87">
        <v>51.5</v>
      </c>
      <c r="AB87">
        <v>53</v>
      </c>
      <c r="AC87">
        <v>54.7</v>
      </c>
      <c r="AD87">
        <v>56.4</v>
      </c>
      <c r="AE87">
        <v>56.2</v>
      </c>
      <c r="AF87">
        <v>60.3</v>
      </c>
      <c r="AG87">
        <v>62.1</v>
      </c>
      <c r="AH87">
        <v>62.2</v>
      </c>
      <c r="AI87">
        <v>63.7</v>
      </c>
      <c r="AJ87">
        <v>65.400000000000006</v>
      </c>
      <c r="AK87">
        <v>66.900000000000006</v>
      </c>
      <c r="AL87">
        <v>69</v>
      </c>
    </row>
    <row r="88" spans="1:38" x14ac:dyDescent="0.3">
      <c r="A88" t="s">
        <v>550</v>
      </c>
      <c r="B88" t="s">
        <v>146</v>
      </c>
      <c r="C88" t="s">
        <v>519</v>
      </c>
      <c r="P88">
        <v>1.3</v>
      </c>
      <c r="Q88">
        <v>2.6</v>
      </c>
      <c r="R88">
        <v>3.9</v>
      </c>
      <c r="S88">
        <v>5.2</v>
      </c>
      <c r="T88">
        <v>14.5</v>
      </c>
      <c r="U88">
        <v>7.9</v>
      </c>
      <c r="V88">
        <v>9.3000000000000007</v>
      </c>
      <c r="W88">
        <v>4.7</v>
      </c>
      <c r="X88">
        <v>6</v>
      </c>
      <c r="Y88">
        <v>13.5</v>
      </c>
      <c r="Z88">
        <v>14.9</v>
      </c>
      <c r="AA88">
        <v>16.3</v>
      </c>
      <c r="AB88">
        <v>17.2</v>
      </c>
      <c r="AC88">
        <v>20.100000000000001</v>
      </c>
      <c r="AD88">
        <v>22.9</v>
      </c>
      <c r="AE88">
        <v>26</v>
      </c>
      <c r="AF88">
        <v>28.4</v>
      </c>
      <c r="AG88">
        <v>30.9</v>
      </c>
      <c r="AH88">
        <v>33.4</v>
      </c>
      <c r="AI88">
        <v>35.799999999999997</v>
      </c>
      <c r="AJ88">
        <v>37.4</v>
      </c>
      <c r="AK88">
        <v>40.5</v>
      </c>
      <c r="AL88">
        <v>43.7</v>
      </c>
    </row>
    <row r="89" spans="1:38" x14ac:dyDescent="0.3">
      <c r="A89" t="s">
        <v>612</v>
      </c>
      <c r="B89" t="s">
        <v>210</v>
      </c>
      <c r="C89" t="s">
        <v>519</v>
      </c>
      <c r="N89">
        <v>64.8</v>
      </c>
      <c r="O89">
        <v>64.900000000000006</v>
      </c>
      <c r="P89">
        <v>64.900000000000006</v>
      </c>
      <c r="Q89">
        <v>64.900000000000006</v>
      </c>
      <c r="R89">
        <v>64.900000000000006</v>
      </c>
      <c r="S89">
        <v>65</v>
      </c>
      <c r="T89">
        <v>65.099999999999994</v>
      </c>
      <c r="U89">
        <v>65.099999999999994</v>
      </c>
      <c r="V89">
        <v>65.2</v>
      </c>
      <c r="W89">
        <v>65.400000000000006</v>
      </c>
      <c r="X89">
        <v>66.099999999999994</v>
      </c>
      <c r="Y89">
        <v>66.099999999999994</v>
      </c>
      <c r="Z89">
        <v>65.7</v>
      </c>
      <c r="AA89">
        <v>65.900000000000006</v>
      </c>
      <c r="AB89">
        <v>66</v>
      </c>
      <c r="AC89">
        <v>66.099999999999994</v>
      </c>
      <c r="AD89">
        <v>66.2</v>
      </c>
      <c r="AE89">
        <v>66.400000000000006</v>
      </c>
      <c r="AF89">
        <v>66.5</v>
      </c>
      <c r="AG89">
        <v>66.599999999999994</v>
      </c>
      <c r="AH89">
        <v>66.7</v>
      </c>
      <c r="AI89">
        <v>66.8</v>
      </c>
      <c r="AJ89">
        <v>67</v>
      </c>
      <c r="AK89">
        <v>66.900000000000006</v>
      </c>
      <c r="AL89">
        <v>65.099999999999994</v>
      </c>
    </row>
    <row r="90" spans="1:38" x14ac:dyDescent="0.3">
      <c r="A90" t="s">
        <v>656</v>
      </c>
      <c r="B90" t="s">
        <v>514</v>
      </c>
      <c r="C90" t="s">
        <v>519</v>
      </c>
      <c r="D90">
        <v>100</v>
      </c>
      <c r="E90">
        <v>100</v>
      </c>
      <c r="F90">
        <v>100</v>
      </c>
      <c r="G90">
        <v>100</v>
      </c>
      <c r="H90">
        <v>100</v>
      </c>
      <c r="I90">
        <v>100</v>
      </c>
      <c r="J90">
        <v>100</v>
      </c>
      <c r="K90">
        <v>100</v>
      </c>
      <c r="L90">
        <v>100</v>
      </c>
      <c r="M90">
        <v>100</v>
      </c>
      <c r="N90">
        <v>100</v>
      </c>
      <c r="O90">
        <v>100</v>
      </c>
      <c r="P90">
        <v>100</v>
      </c>
      <c r="Q90">
        <v>100</v>
      </c>
      <c r="R90">
        <v>100</v>
      </c>
      <c r="S90">
        <v>100</v>
      </c>
      <c r="T90">
        <v>100</v>
      </c>
      <c r="U90">
        <v>100</v>
      </c>
      <c r="V90">
        <v>100</v>
      </c>
      <c r="W90">
        <v>100</v>
      </c>
      <c r="X90">
        <v>100</v>
      </c>
      <c r="Y90">
        <v>100</v>
      </c>
      <c r="Z90">
        <v>100</v>
      </c>
      <c r="AA90">
        <v>100</v>
      </c>
      <c r="AB90">
        <v>100</v>
      </c>
      <c r="AC90">
        <v>100</v>
      </c>
      <c r="AD90">
        <v>100</v>
      </c>
      <c r="AE90">
        <v>100</v>
      </c>
      <c r="AF90">
        <v>100</v>
      </c>
      <c r="AG90">
        <v>100</v>
      </c>
      <c r="AH90">
        <v>100</v>
      </c>
      <c r="AI90">
        <v>100</v>
      </c>
      <c r="AJ90">
        <v>100</v>
      </c>
      <c r="AK90">
        <v>100</v>
      </c>
      <c r="AL90">
        <v>100</v>
      </c>
    </row>
    <row r="91" spans="1:38" x14ac:dyDescent="0.3">
      <c r="A91" t="s">
        <v>69</v>
      </c>
      <c r="B91" t="s">
        <v>567</v>
      </c>
      <c r="C91" t="s">
        <v>519</v>
      </c>
      <c r="L91">
        <v>85.04</v>
      </c>
      <c r="M91">
        <v>85.529464721679702</v>
      </c>
      <c r="N91">
        <v>86</v>
      </c>
      <c r="O91">
        <v>86.3</v>
      </c>
      <c r="P91">
        <v>86.6</v>
      </c>
      <c r="Q91">
        <v>86.9</v>
      </c>
      <c r="R91">
        <v>87.2</v>
      </c>
      <c r="S91">
        <v>87.5</v>
      </c>
      <c r="T91">
        <v>87.9</v>
      </c>
      <c r="U91">
        <v>88.2</v>
      </c>
      <c r="V91">
        <v>90</v>
      </c>
      <c r="W91">
        <v>89</v>
      </c>
      <c r="X91">
        <v>89.4</v>
      </c>
      <c r="Y91">
        <v>88.8</v>
      </c>
      <c r="Z91">
        <v>90.2</v>
      </c>
      <c r="AA91">
        <v>90.6</v>
      </c>
      <c r="AB91">
        <v>91</v>
      </c>
      <c r="AC91">
        <v>91.4</v>
      </c>
      <c r="AD91">
        <v>91.8</v>
      </c>
      <c r="AE91">
        <v>92.2</v>
      </c>
      <c r="AF91">
        <v>92.3</v>
      </c>
      <c r="AG91">
        <v>93</v>
      </c>
      <c r="AH91">
        <v>93.4</v>
      </c>
      <c r="AI91">
        <v>93.7</v>
      </c>
      <c r="AJ91">
        <v>94.2</v>
      </c>
      <c r="AK91">
        <v>94.4</v>
      </c>
      <c r="AL91">
        <v>95.6</v>
      </c>
    </row>
    <row r="92" spans="1:38" x14ac:dyDescent="0.3">
      <c r="A92" t="s">
        <v>496</v>
      </c>
      <c r="B92" t="s">
        <v>628</v>
      </c>
      <c r="C92" t="s">
        <v>519</v>
      </c>
      <c r="D92">
        <v>100</v>
      </c>
      <c r="E92">
        <v>100</v>
      </c>
      <c r="F92">
        <v>100</v>
      </c>
      <c r="G92">
        <v>100</v>
      </c>
      <c r="H92">
        <v>100</v>
      </c>
      <c r="I92">
        <v>100</v>
      </c>
      <c r="J92">
        <v>100</v>
      </c>
      <c r="K92">
        <v>100</v>
      </c>
      <c r="L92">
        <v>100</v>
      </c>
      <c r="M92">
        <v>100</v>
      </c>
      <c r="N92">
        <v>100</v>
      </c>
      <c r="O92">
        <v>100</v>
      </c>
      <c r="P92">
        <v>100</v>
      </c>
      <c r="Q92">
        <v>100</v>
      </c>
      <c r="R92">
        <v>100</v>
      </c>
      <c r="S92">
        <v>100</v>
      </c>
      <c r="T92">
        <v>100</v>
      </c>
      <c r="U92">
        <v>100</v>
      </c>
      <c r="V92">
        <v>100</v>
      </c>
      <c r="W92">
        <v>100</v>
      </c>
      <c r="X92">
        <v>100</v>
      </c>
      <c r="Y92">
        <v>100</v>
      </c>
      <c r="Z92">
        <v>100</v>
      </c>
      <c r="AA92">
        <v>100</v>
      </c>
      <c r="AB92">
        <v>100</v>
      </c>
      <c r="AC92">
        <v>100</v>
      </c>
      <c r="AD92">
        <v>100</v>
      </c>
      <c r="AE92">
        <v>100</v>
      </c>
      <c r="AF92">
        <v>100</v>
      </c>
      <c r="AG92">
        <v>100</v>
      </c>
      <c r="AH92">
        <v>100</v>
      </c>
      <c r="AI92">
        <v>100</v>
      </c>
      <c r="AJ92">
        <v>100</v>
      </c>
      <c r="AK92">
        <v>100</v>
      </c>
      <c r="AL92">
        <v>100</v>
      </c>
    </row>
    <row r="93" spans="1:38" x14ac:dyDescent="0.3">
      <c r="A93" t="s">
        <v>243</v>
      </c>
      <c r="B93" t="s">
        <v>126</v>
      </c>
      <c r="C93" t="s">
        <v>519</v>
      </c>
      <c r="I93">
        <v>60.8</v>
      </c>
      <c r="J93">
        <v>67.679939270019503</v>
      </c>
      <c r="K93">
        <v>68.904075622558594</v>
      </c>
      <c r="L93">
        <v>70.124130249023395</v>
      </c>
      <c r="M93">
        <v>70.900000000000006</v>
      </c>
      <c r="N93">
        <v>73.3</v>
      </c>
      <c r="O93">
        <v>73.7</v>
      </c>
      <c r="P93">
        <v>78.7</v>
      </c>
      <c r="Q93">
        <v>78.5</v>
      </c>
      <c r="R93">
        <v>77.2</v>
      </c>
      <c r="S93">
        <v>78.3</v>
      </c>
      <c r="T93">
        <v>83.7</v>
      </c>
      <c r="U93">
        <v>80.7</v>
      </c>
      <c r="V93">
        <v>81.900000000000006</v>
      </c>
      <c r="W93">
        <v>83.1</v>
      </c>
      <c r="X93">
        <v>84.3</v>
      </c>
      <c r="Y93">
        <v>84</v>
      </c>
      <c r="Z93">
        <v>86.8</v>
      </c>
      <c r="AA93">
        <v>88.1</v>
      </c>
      <c r="AB93">
        <v>85.5</v>
      </c>
      <c r="AC93">
        <v>90.5</v>
      </c>
      <c r="AD93">
        <v>91.8</v>
      </c>
      <c r="AE93">
        <v>93.3</v>
      </c>
      <c r="AF93">
        <v>94.2</v>
      </c>
      <c r="AG93">
        <v>95.4</v>
      </c>
      <c r="AH93">
        <v>96.6</v>
      </c>
      <c r="AI93">
        <v>97.9</v>
      </c>
      <c r="AJ93">
        <v>99.1</v>
      </c>
      <c r="AK93">
        <v>100</v>
      </c>
      <c r="AL93">
        <v>90.9</v>
      </c>
    </row>
    <row r="94" spans="1:38" x14ac:dyDescent="0.3">
      <c r="A94" t="s">
        <v>697</v>
      </c>
      <c r="B94" t="s">
        <v>39</v>
      </c>
      <c r="C94" t="s">
        <v>519</v>
      </c>
      <c r="D94">
        <v>99.844306945800795</v>
      </c>
      <c r="E94">
        <v>99.875816345214801</v>
      </c>
      <c r="F94">
        <v>99.906867980957003</v>
      </c>
      <c r="G94">
        <v>99.937255859375</v>
      </c>
      <c r="H94">
        <v>99.965080261230497</v>
      </c>
      <c r="I94">
        <v>100</v>
      </c>
      <c r="J94">
        <v>100</v>
      </c>
      <c r="K94">
        <v>100</v>
      </c>
      <c r="L94">
        <v>100</v>
      </c>
      <c r="M94">
        <v>100</v>
      </c>
      <c r="N94">
        <v>100</v>
      </c>
      <c r="O94">
        <v>100</v>
      </c>
      <c r="P94">
        <v>100</v>
      </c>
      <c r="Q94">
        <v>100</v>
      </c>
      <c r="R94">
        <v>100</v>
      </c>
      <c r="S94">
        <v>100</v>
      </c>
      <c r="T94">
        <v>100</v>
      </c>
      <c r="U94">
        <v>100</v>
      </c>
      <c r="V94">
        <v>100</v>
      </c>
      <c r="W94">
        <v>100</v>
      </c>
      <c r="X94">
        <v>100</v>
      </c>
      <c r="Y94">
        <v>100</v>
      </c>
      <c r="Z94">
        <v>100</v>
      </c>
      <c r="AA94">
        <v>100</v>
      </c>
      <c r="AB94">
        <v>100</v>
      </c>
      <c r="AC94">
        <v>100</v>
      </c>
      <c r="AD94">
        <v>100</v>
      </c>
      <c r="AE94">
        <v>100</v>
      </c>
      <c r="AF94">
        <v>100</v>
      </c>
      <c r="AG94">
        <v>100</v>
      </c>
      <c r="AH94">
        <v>100</v>
      </c>
      <c r="AI94">
        <v>100</v>
      </c>
      <c r="AJ94">
        <v>100</v>
      </c>
      <c r="AK94">
        <v>100</v>
      </c>
      <c r="AL94">
        <v>100</v>
      </c>
    </row>
    <row r="95" spans="1:38" x14ac:dyDescent="0.3">
      <c r="A95" t="s">
        <v>338</v>
      </c>
      <c r="B95" t="s">
        <v>503</v>
      </c>
      <c r="C95" t="s">
        <v>519</v>
      </c>
      <c r="G95">
        <v>72.376631000000003</v>
      </c>
      <c r="H95">
        <v>70.713981628417997</v>
      </c>
      <c r="I95">
        <v>71.351982116699205</v>
      </c>
      <c r="J95">
        <v>71.987266540527301</v>
      </c>
      <c r="K95">
        <v>72.619155883789105</v>
      </c>
      <c r="L95">
        <v>73.246955871582003</v>
      </c>
      <c r="M95">
        <v>73.869918823242202</v>
      </c>
      <c r="N95">
        <v>74.599999999999994</v>
      </c>
      <c r="O95">
        <v>75.099999999999994</v>
      </c>
      <c r="P95">
        <v>75.7</v>
      </c>
      <c r="Q95">
        <v>76.2</v>
      </c>
      <c r="R95">
        <v>76.8</v>
      </c>
      <c r="S95">
        <v>77.5</v>
      </c>
      <c r="T95">
        <v>73.400000000000006</v>
      </c>
      <c r="U95">
        <v>78.5</v>
      </c>
      <c r="V95">
        <v>79.099999999999994</v>
      </c>
      <c r="W95">
        <v>77.599999999999994</v>
      </c>
      <c r="X95">
        <v>83.3</v>
      </c>
      <c r="Y95">
        <v>84.2</v>
      </c>
      <c r="Z95">
        <v>85.1</v>
      </c>
      <c r="AA95">
        <v>86</v>
      </c>
      <c r="AB95">
        <v>86.9</v>
      </c>
      <c r="AC95">
        <v>88</v>
      </c>
      <c r="AD95">
        <v>89</v>
      </c>
      <c r="AE95">
        <v>90</v>
      </c>
      <c r="AF95">
        <v>90.9</v>
      </c>
      <c r="AG95">
        <v>91.6</v>
      </c>
      <c r="AH95">
        <v>92.3</v>
      </c>
      <c r="AI95">
        <v>92.9</v>
      </c>
      <c r="AJ95">
        <v>93</v>
      </c>
      <c r="AK95">
        <v>98.9</v>
      </c>
      <c r="AL95">
        <v>93</v>
      </c>
    </row>
    <row r="96" spans="1:38" x14ac:dyDescent="0.3">
      <c r="A96" t="s">
        <v>327</v>
      </c>
      <c r="B96" t="s">
        <v>504</v>
      </c>
      <c r="C96" t="s">
        <v>519</v>
      </c>
      <c r="D96">
        <v>99.841048629803467</v>
      </c>
      <c r="E96">
        <v>99.877137692115411</v>
      </c>
      <c r="F96">
        <v>99.866216026187104</v>
      </c>
      <c r="G96">
        <v>99.859190541875023</v>
      </c>
      <c r="H96">
        <v>99.862328903552765</v>
      </c>
      <c r="I96">
        <v>99.867339705584797</v>
      </c>
      <c r="J96">
        <v>99.864553664570423</v>
      </c>
      <c r="K96">
        <v>99.87644161858087</v>
      </c>
      <c r="L96">
        <v>99.890738975690155</v>
      </c>
      <c r="M96">
        <v>99.88575405523865</v>
      </c>
      <c r="N96">
        <v>99.441643111123966</v>
      </c>
      <c r="O96">
        <v>99.46644306818574</v>
      </c>
      <c r="P96">
        <v>99.486329436650664</v>
      </c>
      <c r="Q96">
        <v>99.528425385873433</v>
      </c>
      <c r="R96">
        <v>99.523189156681639</v>
      </c>
      <c r="S96">
        <v>99.533232922493823</v>
      </c>
      <c r="T96">
        <v>99.584424413618777</v>
      </c>
      <c r="U96">
        <v>99.594446381278445</v>
      </c>
      <c r="V96">
        <v>99.625104814071037</v>
      </c>
      <c r="W96">
        <v>99.672436510270472</v>
      </c>
      <c r="X96">
        <v>99.781573117721734</v>
      </c>
      <c r="Y96">
        <v>99.784427606656479</v>
      </c>
      <c r="Z96">
        <v>99.895144692711028</v>
      </c>
      <c r="AA96">
        <v>99.898738383592544</v>
      </c>
      <c r="AB96">
        <v>99.917207378231538</v>
      </c>
      <c r="AC96">
        <v>99.441255592233858</v>
      </c>
      <c r="AD96">
        <v>99.874939831455734</v>
      </c>
      <c r="AE96">
        <v>99.959721707341473</v>
      </c>
      <c r="AF96">
        <v>99.962643566792778</v>
      </c>
      <c r="AG96">
        <v>99.949609568570565</v>
      </c>
      <c r="AH96">
        <v>99.968305893555382</v>
      </c>
      <c r="AI96">
        <v>99.979890867050742</v>
      </c>
      <c r="AJ96">
        <v>99.979800132949734</v>
      </c>
      <c r="AK96">
        <v>99.988399781959629</v>
      </c>
      <c r="AL96">
        <v>99.96796576458307</v>
      </c>
    </row>
    <row r="97" spans="1:38" x14ac:dyDescent="0.3">
      <c r="A97" t="s">
        <v>248</v>
      </c>
      <c r="B97" t="s">
        <v>316</v>
      </c>
      <c r="C97" t="s">
        <v>519</v>
      </c>
      <c r="D97">
        <v>100</v>
      </c>
      <c r="E97">
        <v>100</v>
      </c>
      <c r="F97">
        <v>100</v>
      </c>
      <c r="G97">
        <v>100</v>
      </c>
      <c r="H97">
        <v>100</v>
      </c>
      <c r="I97">
        <v>100</v>
      </c>
      <c r="J97">
        <v>100</v>
      </c>
      <c r="K97">
        <v>100</v>
      </c>
      <c r="L97">
        <v>100</v>
      </c>
      <c r="M97">
        <v>100</v>
      </c>
      <c r="N97">
        <v>100</v>
      </c>
      <c r="O97">
        <v>100</v>
      </c>
      <c r="P97">
        <v>100</v>
      </c>
      <c r="Q97">
        <v>100</v>
      </c>
      <c r="R97">
        <v>100</v>
      </c>
      <c r="S97">
        <v>100</v>
      </c>
      <c r="T97">
        <v>100</v>
      </c>
      <c r="U97">
        <v>100</v>
      </c>
      <c r="V97">
        <v>100</v>
      </c>
      <c r="W97">
        <v>100</v>
      </c>
      <c r="X97">
        <v>100</v>
      </c>
      <c r="Y97">
        <v>100</v>
      </c>
      <c r="Z97">
        <v>100</v>
      </c>
      <c r="AA97">
        <v>100</v>
      </c>
      <c r="AB97">
        <v>100</v>
      </c>
      <c r="AC97">
        <v>100</v>
      </c>
      <c r="AD97">
        <v>100</v>
      </c>
      <c r="AE97">
        <v>100</v>
      </c>
      <c r="AF97">
        <v>100</v>
      </c>
      <c r="AG97">
        <v>100</v>
      </c>
      <c r="AH97">
        <v>100</v>
      </c>
      <c r="AI97">
        <v>100</v>
      </c>
      <c r="AJ97">
        <v>100</v>
      </c>
      <c r="AK97">
        <v>100</v>
      </c>
      <c r="AL97">
        <v>100</v>
      </c>
    </row>
    <row r="98" spans="1:38" x14ac:dyDescent="0.3">
      <c r="A98" t="s">
        <v>521</v>
      </c>
      <c r="B98" t="s">
        <v>60</v>
      </c>
      <c r="C98" t="s">
        <v>519</v>
      </c>
      <c r="E98">
        <v>54.781936999999999</v>
      </c>
      <c r="F98">
        <v>58.913111999999998</v>
      </c>
      <c r="G98">
        <v>61.100155999999998</v>
      </c>
      <c r="H98">
        <v>64.733947000000001</v>
      </c>
      <c r="I98">
        <v>66.122022000000001</v>
      </c>
      <c r="J98">
        <v>61.68112</v>
      </c>
      <c r="K98">
        <v>64.794753999999998</v>
      </c>
      <c r="L98">
        <v>66.859519000000006</v>
      </c>
      <c r="M98">
        <v>67.394103000000001</v>
      </c>
      <c r="N98">
        <v>67.400000000000006</v>
      </c>
      <c r="O98">
        <v>64.2</v>
      </c>
      <c r="P98">
        <v>63.1</v>
      </c>
      <c r="Q98">
        <v>65.099999999999994</v>
      </c>
      <c r="R98">
        <v>67.099999999999994</v>
      </c>
      <c r="S98">
        <v>68.900000000000006</v>
      </c>
      <c r="T98">
        <v>71.3</v>
      </c>
      <c r="U98">
        <v>73.5</v>
      </c>
      <c r="V98">
        <v>76.400000000000006</v>
      </c>
      <c r="W98">
        <v>78.3</v>
      </c>
      <c r="X98">
        <v>81</v>
      </c>
      <c r="Y98">
        <v>82.2</v>
      </c>
      <c r="Z98">
        <v>83.6</v>
      </c>
      <c r="AA98">
        <v>87.2</v>
      </c>
      <c r="AB98">
        <v>88.7</v>
      </c>
      <c r="AC98">
        <v>90</v>
      </c>
      <c r="AD98">
        <v>91.6</v>
      </c>
      <c r="AE98">
        <v>86.5</v>
      </c>
      <c r="AF98">
        <v>91.6</v>
      </c>
      <c r="AG98">
        <v>91.1</v>
      </c>
      <c r="AH98">
        <v>93.1</v>
      </c>
      <c r="AI98">
        <v>94.1</v>
      </c>
      <c r="AJ98">
        <v>94.4</v>
      </c>
      <c r="AK98">
        <v>95.6</v>
      </c>
      <c r="AL98">
        <v>95.5</v>
      </c>
    </row>
    <row r="99" spans="1:38" x14ac:dyDescent="0.3">
      <c r="A99" t="s">
        <v>648</v>
      </c>
      <c r="B99" t="s">
        <v>144</v>
      </c>
      <c r="C99" t="s">
        <v>519</v>
      </c>
      <c r="N99">
        <v>17.82509388381461</v>
      </c>
      <c r="O99">
        <v>18.696548651666664</v>
      </c>
      <c r="P99">
        <v>19.402131943332058</v>
      </c>
      <c r="Q99">
        <v>20.87067239865064</v>
      </c>
      <c r="R99">
        <v>21.91716765959524</v>
      </c>
      <c r="S99">
        <v>21.657755928401958</v>
      </c>
      <c r="T99">
        <v>24.294255506376587</v>
      </c>
      <c r="U99">
        <v>25.844643272544261</v>
      </c>
      <c r="V99">
        <v>25.79944871095628</v>
      </c>
      <c r="W99">
        <v>27.020086748217675</v>
      </c>
      <c r="X99">
        <v>28.678080008528216</v>
      </c>
      <c r="Y99">
        <v>29.165168759952763</v>
      </c>
      <c r="Z99">
        <v>31.893196160852309</v>
      </c>
      <c r="AA99">
        <v>32.881623998680141</v>
      </c>
      <c r="AB99">
        <v>35.335538959546533</v>
      </c>
      <c r="AC99">
        <v>35.445787905871533</v>
      </c>
      <c r="AD99">
        <v>40.582514157223308</v>
      </c>
      <c r="AE99">
        <v>41.470000741276124</v>
      </c>
      <c r="AF99">
        <v>43.972038842580119</v>
      </c>
      <c r="AG99">
        <v>45.014803870367963</v>
      </c>
      <c r="AH99">
        <v>46.332520571170249</v>
      </c>
      <c r="AI99">
        <v>48.011623662557589</v>
      </c>
      <c r="AJ99">
        <v>48.604426930834947</v>
      </c>
      <c r="AK99">
        <v>50.520889679562302</v>
      </c>
      <c r="AL99">
        <v>52.476940291889406</v>
      </c>
    </row>
    <row r="100" spans="1:38" x14ac:dyDescent="0.3">
      <c r="A100" t="s">
        <v>491</v>
      </c>
      <c r="B100" t="s">
        <v>594</v>
      </c>
      <c r="C100" t="s">
        <v>519</v>
      </c>
      <c r="D100">
        <v>100</v>
      </c>
      <c r="E100">
        <v>100</v>
      </c>
      <c r="F100">
        <v>100</v>
      </c>
      <c r="G100">
        <v>100</v>
      </c>
      <c r="H100">
        <v>100</v>
      </c>
      <c r="I100">
        <v>100</v>
      </c>
      <c r="J100">
        <v>100</v>
      </c>
      <c r="K100">
        <v>100</v>
      </c>
      <c r="L100">
        <v>100</v>
      </c>
      <c r="M100">
        <v>100</v>
      </c>
      <c r="N100">
        <v>100</v>
      </c>
      <c r="O100">
        <v>100</v>
      </c>
      <c r="P100">
        <v>100</v>
      </c>
      <c r="Q100">
        <v>100</v>
      </c>
      <c r="R100">
        <v>99.9</v>
      </c>
      <c r="S100">
        <v>99.9</v>
      </c>
      <c r="T100">
        <v>99.8</v>
      </c>
      <c r="U100">
        <v>99.8</v>
      </c>
      <c r="V100">
        <v>100</v>
      </c>
      <c r="W100">
        <v>100</v>
      </c>
      <c r="X100">
        <v>100</v>
      </c>
      <c r="Y100">
        <v>100</v>
      </c>
      <c r="Z100">
        <v>100</v>
      </c>
      <c r="AA100">
        <v>100</v>
      </c>
      <c r="AB100">
        <v>100</v>
      </c>
      <c r="AC100">
        <v>100</v>
      </c>
      <c r="AD100">
        <v>100</v>
      </c>
      <c r="AE100">
        <v>100</v>
      </c>
      <c r="AF100">
        <v>100</v>
      </c>
      <c r="AG100">
        <v>100</v>
      </c>
      <c r="AH100">
        <v>100</v>
      </c>
      <c r="AI100">
        <v>100</v>
      </c>
      <c r="AJ100">
        <v>100</v>
      </c>
      <c r="AK100">
        <v>100</v>
      </c>
      <c r="AL100">
        <v>100</v>
      </c>
    </row>
    <row r="101" spans="1:38" x14ac:dyDescent="0.3">
      <c r="A101" t="s">
        <v>5</v>
      </c>
      <c r="B101" t="s">
        <v>85</v>
      </c>
      <c r="C101" t="s">
        <v>519</v>
      </c>
      <c r="I101">
        <v>31.3</v>
      </c>
      <c r="J101">
        <v>30.013017654418899</v>
      </c>
      <c r="K101">
        <v>30.5570373535156</v>
      </c>
      <c r="L101">
        <v>31.0969753265381</v>
      </c>
      <c r="M101">
        <v>31.632072448730501</v>
      </c>
      <c r="N101">
        <v>33.700000000000003</v>
      </c>
      <c r="O101">
        <v>31.5</v>
      </c>
      <c r="P101">
        <v>33.1</v>
      </c>
      <c r="Q101">
        <v>31.6</v>
      </c>
      <c r="R101">
        <v>34.1</v>
      </c>
      <c r="S101">
        <v>34.5</v>
      </c>
      <c r="T101">
        <v>33.9</v>
      </c>
      <c r="U101">
        <v>35.5</v>
      </c>
      <c r="V101">
        <v>36.1</v>
      </c>
      <c r="W101">
        <v>36.6</v>
      </c>
      <c r="X101">
        <v>37.200000000000003</v>
      </c>
      <c r="Y101">
        <v>37.799999999999997</v>
      </c>
      <c r="Z101">
        <v>37.9</v>
      </c>
      <c r="AA101">
        <v>38.9</v>
      </c>
      <c r="AB101">
        <v>39.6</v>
      </c>
      <c r="AC101">
        <v>40.799999999999997</v>
      </c>
      <c r="AD101">
        <v>40.4</v>
      </c>
      <c r="AE101">
        <v>43.3</v>
      </c>
      <c r="AF101">
        <v>44.4</v>
      </c>
      <c r="AG101">
        <v>45.4</v>
      </c>
      <c r="AH101">
        <v>46.3</v>
      </c>
      <c r="AI101">
        <v>47.2</v>
      </c>
      <c r="AJ101">
        <v>49.3</v>
      </c>
      <c r="AK101">
        <v>51.3</v>
      </c>
      <c r="AL101">
        <v>53.9</v>
      </c>
    </row>
    <row r="102" spans="1:38" x14ac:dyDescent="0.3">
      <c r="A102" t="s">
        <v>50</v>
      </c>
      <c r="B102" t="s">
        <v>605</v>
      </c>
      <c r="C102" t="s">
        <v>519</v>
      </c>
      <c r="D102">
        <v>100</v>
      </c>
      <c r="E102">
        <v>100</v>
      </c>
      <c r="F102">
        <v>100</v>
      </c>
      <c r="G102">
        <v>100</v>
      </c>
      <c r="H102">
        <v>100</v>
      </c>
      <c r="I102">
        <v>100</v>
      </c>
      <c r="J102">
        <v>100</v>
      </c>
      <c r="K102">
        <v>100</v>
      </c>
      <c r="L102">
        <v>100</v>
      </c>
      <c r="M102">
        <v>100</v>
      </c>
      <c r="N102">
        <v>100</v>
      </c>
      <c r="O102">
        <v>100</v>
      </c>
      <c r="P102">
        <v>100</v>
      </c>
      <c r="Q102">
        <v>100</v>
      </c>
      <c r="R102">
        <v>100</v>
      </c>
      <c r="S102">
        <v>99.9</v>
      </c>
      <c r="T102">
        <v>99.9</v>
      </c>
      <c r="U102">
        <v>100</v>
      </c>
      <c r="V102">
        <v>100</v>
      </c>
      <c r="W102">
        <v>100</v>
      </c>
      <c r="X102">
        <v>100</v>
      </c>
      <c r="Y102">
        <v>100</v>
      </c>
      <c r="Z102">
        <v>100</v>
      </c>
      <c r="AA102">
        <v>100</v>
      </c>
      <c r="AB102">
        <v>100</v>
      </c>
      <c r="AC102">
        <v>100</v>
      </c>
      <c r="AD102">
        <v>100</v>
      </c>
      <c r="AE102">
        <v>100</v>
      </c>
      <c r="AF102">
        <v>100</v>
      </c>
      <c r="AG102">
        <v>100</v>
      </c>
      <c r="AH102">
        <v>100</v>
      </c>
      <c r="AI102">
        <v>100</v>
      </c>
      <c r="AJ102">
        <v>100</v>
      </c>
      <c r="AK102">
        <v>100</v>
      </c>
      <c r="AL102">
        <v>100</v>
      </c>
    </row>
    <row r="103" spans="1:38" x14ac:dyDescent="0.3">
      <c r="A103" t="s">
        <v>679</v>
      </c>
      <c r="B103" t="s">
        <v>131</v>
      </c>
      <c r="C103" t="s">
        <v>519</v>
      </c>
      <c r="N103">
        <v>84.551420039195335</v>
      </c>
      <c r="O103">
        <v>85.260545288029547</v>
      </c>
      <c r="P103">
        <v>85.598361383749832</v>
      </c>
      <c r="Q103">
        <v>86.55819569022718</v>
      </c>
      <c r="R103">
        <v>86.718490542475294</v>
      </c>
      <c r="S103">
        <v>87.733322756668755</v>
      </c>
      <c r="T103">
        <v>88.168089146625377</v>
      </c>
      <c r="U103">
        <v>89.324212163893165</v>
      </c>
      <c r="V103">
        <v>90.166529400894788</v>
      </c>
      <c r="W103">
        <v>90.67317623329113</v>
      </c>
      <c r="X103">
        <v>91.45397535648803</v>
      </c>
      <c r="Y103">
        <v>92.508495617541698</v>
      </c>
      <c r="Z103">
        <v>92.769149473587873</v>
      </c>
      <c r="AA103">
        <v>93.782028308572947</v>
      </c>
      <c r="AB103">
        <v>94.423871459344497</v>
      </c>
      <c r="AC103">
        <v>95.176805341264199</v>
      </c>
      <c r="AD103">
        <v>95.836371597901959</v>
      </c>
      <c r="AE103">
        <v>96.604059133624631</v>
      </c>
      <c r="AF103">
        <v>97.749844325144537</v>
      </c>
      <c r="AG103">
        <v>97.871575298376612</v>
      </c>
      <c r="AH103">
        <v>98.056713404633371</v>
      </c>
      <c r="AI103">
        <v>99.10941679202466</v>
      </c>
      <c r="AJ103">
        <v>98.968657457780253</v>
      </c>
      <c r="AK103">
        <v>99.088581586156408</v>
      </c>
      <c r="AL103">
        <v>99.171031433557602</v>
      </c>
    </row>
    <row r="104" spans="1:38" x14ac:dyDescent="0.3">
      <c r="A104" t="s">
        <v>73</v>
      </c>
      <c r="B104" t="s">
        <v>252</v>
      </c>
      <c r="C104" t="s">
        <v>519</v>
      </c>
      <c r="N104">
        <v>73.96940208005401</v>
      </c>
      <c r="O104">
        <v>74.592322287313422</v>
      </c>
      <c r="P104">
        <v>75.083280694064442</v>
      </c>
      <c r="Q104">
        <v>76.138613244958563</v>
      </c>
      <c r="R104">
        <v>76.148398024680674</v>
      </c>
      <c r="S104">
        <v>77.063340678129649</v>
      </c>
      <c r="T104">
        <v>77.858826467351363</v>
      </c>
      <c r="U104">
        <v>78.615771415784238</v>
      </c>
      <c r="V104">
        <v>79.456924953085903</v>
      </c>
      <c r="W104">
        <v>79.953511077084684</v>
      </c>
      <c r="X104">
        <v>80.652523311468599</v>
      </c>
      <c r="Y104">
        <v>81.921859069968534</v>
      </c>
      <c r="Z104">
        <v>82.438899278311339</v>
      </c>
      <c r="AA104">
        <v>83.362705362845034</v>
      </c>
      <c r="AB104">
        <v>83.94280795075916</v>
      </c>
      <c r="AC104">
        <v>84.80587208708981</v>
      </c>
      <c r="AD104">
        <v>86.202043995218673</v>
      </c>
      <c r="AE104">
        <v>87.18252429623773</v>
      </c>
      <c r="AF104">
        <v>88.207668073606939</v>
      </c>
      <c r="AG104">
        <v>88.572264308001465</v>
      </c>
      <c r="AH104">
        <v>88.915980252260127</v>
      </c>
      <c r="AI104">
        <v>90.024778702389369</v>
      </c>
      <c r="AJ104">
        <v>89.953482234179404</v>
      </c>
      <c r="AK104">
        <v>90.31952519949391</v>
      </c>
      <c r="AL104">
        <v>90.684185808315604</v>
      </c>
    </row>
    <row r="105" spans="1:38" x14ac:dyDescent="0.3">
      <c r="A105" t="s">
        <v>699</v>
      </c>
      <c r="B105" t="s">
        <v>517</v>
      </c>
      <c r="C105" t="s">
        <v>519</v>
      </c>
      <c r="L105">
        <v>36.955124395146456</v>
      </c>
      <c r="M105">
        <v>38.346465192077865</v>
      </c>
      <c r="N105">
        <v>36.368958263080756</v>
      </c>
      <c r="O105">
        <v>37.147964936942472</v>
      </c>
      <c r="P105">
        <v>38.689355926781786</v>
      </c>
      <c r="Q105">
        <v>40.54282341693601</v>
      </c>
      <c r="R105">
        <v>40.49338995570406</v>
      </c>
      <c r="S105">
        <v>41.525778646869632</v>
      </c>
      <c r="T105">
        <v>43.973068606333555</v>
      </c>
      <c r="U105">
        <v>44.21558320494205</v>
      </c>
      <c r="V105">
        <v>45.521008688490255</v>
      </c>
      <c r="W105">
        <v>46.434154273855114</v>
      </c>
      <c r="X105">
        <v>47.320260594390859</v>
      </c>
      <c r="Y105">
        <v>49.664930087043189</v>
      </c>
      <c r="Z105">
        <v>51.322579807643628</v>
      </c>
      <c r="AA105">
        <v>52.285303877589783</v>
      </c>
      <c r="AB105">
        <v>53.003067469688219</v>
      </c>
      <c r="AC105">
        <v>54.526027751815029</v>
      </c>
      <c r="AD105">
        <v>58.39953492069737</v>
      </c>
      <c r="AE105">
        <v>60.323334799993127</v>
      </c>
      <c r="AF105">
        <v>61.359769390909335</v>
      </c>
      <c r="AG105">
        <v>62.774602082615544</v>
      </c>
      <c r="AH105">
        <v>63.941931825195887</v>
      </c>
      <c r="AI105">
        <v>65.60332286955871</v>
      </c>
      <c r="AJ105">
        <v>66.115081990305782</v>
      </c>
      <c r="AK105">
        <v>67.506205859889818</v>
      </c>
      <c r="AL105">
        <v>68.945722065102117</v>
      </c>
    </row>
    <row r="106" spans="1:38" x14ac:dyDescent="0.3">
      <c r="A106" t="s">
        <v>473</v>
      </c>
      <c r="B106" t="s">
        <v>1</v>
      </c>
      <c r="C106" t="s">
        <v>519</v>
      </c>
      <c r="L106">
        <v>54.159310521688511</v>
      </c>
      <c r="M106">
        <v>55.455819920573802</v>
      </c>
      <c r="N106">
        <v>55.648110796612187</v>
      </c>
      <c r="O106">
        <v>56.707898850050015</v>
      </c>
      <c r="P106">
        <v>57.418213504278761</v>
      </c>
      <c r="Q106">
        <v>60.095281651132794</v>
      </c>
      <c r="R106">
        <v>59.14327424687891</v>
      </c>
      <c r="S106">
        <v>60.224211282843399</v>
      </c>
      <c r="T106">
        <v>61.126982622322451</v>
      </c>
      <c r="U106">
        <v>62.304314841416776</v>
      </c>
      <c r="V106">
        <v>63.330939154909885</v>
      </c>
      <c r="W106">
        <v>63.11554165622416</v>
      </c>
      <c r="X106">
        <v>63.954748645589085</v>
      </c>
      <c r="Y106">
        <v>68.04984867830305</v>
      </c>
      <c r="Z106">
        <v>67.753428275176333</v>
      </c>
      <c r="AA106">
        <v>69.201284903933526</v>
      </c>
      <c r="AB106">
        <v>68.474990117402768</v>
      </c>
      <c r="AC106">
        <v>68.786832494063077</v>
      </c>
      <c r="AD106">
        <v>72.546034914171898</v>
      </c>
      <c r="AE106">
        <v>71.646613733255904</v>
      </c>
      <c r="AF106">
        <v>73.151878223368996</v>
      </c>
      <c r="AG106">
        <v>73.908908808971233</v>
      </c>
      <c r="AH106">
        <v>74.492462198968198</v>
      </c>
      <c r="AI106">
        <v>76.469887325023848</v>
      </c>
      <c r="AJ106">
        <v>76.997531625750213</v>
      </c>
      <c r="AK106">
        <v>77.920134375695383</v>
      </c>
      <c r="AL106">
        <v>78.814823038612786</v>
      </c>
    </row>
    <row r="107" spans="1:38" x14ac:dyDescent="0.3">
      <c r="A107" t="s">
        <v>441</v>
      </c>
      <c r="B107" t="s">
        <v>448</v>
      </c>
      <c r="C107" t="s">
        <v>519</v>
      </c>
      <c r="E107">
        <v>48.9</v>
      </c>
      <c r="F107">
        <v>66.696563720703097</v>
      </c>
      <c r="G107">
        <v>55.43</v>
      </c>
      <c r="H107">
        <v>62.8</v>
      </c>
      <c r="I107">
        <v>66.86</v>
      </c>
      <c r="J107">
        <v>72.39</v>
      </c>
      <c r="K107">
        <v>80.3</v>
      </c>
      <c r="L107">
        <v>80.94</v>
      </c>
      <c r="M107">
        <v>83.73</v>
      </c>
      <c r="N107">
        <v>86.3</v>
      </c>
      <c r="O107">
        <v>86.3</v>
      </c>
      <c r="P107">
        <v>87.6</v>
      </c>
      <c r="Q107">
        <v>87.9</v>
      </c>
      <c r="R107">
        <v>89</v>
      </c>
      <c r="S107">
        <v>84.8</v>
      </c>
      <c r="T107">
        <v>90.6</v>
      </c>
      <c r="U107">
        <v>91.1</v>
      </c>
      <c r="V107">
        <v>92.7</v>
      </c>
      <c r="W107">
        <v>93.6</v>
      </c>
      <c r="X107">
        <v>94.2</v>
      </c>
      <c r="Y107">
        <v>94.8</v>
      </c>
      <c r="Z107">
        <v>96</v>
      </c>
      <c r="AA107">
        <v>96.5</v>
      </c>
      <c r="AB107">
        <v>97</v>
      </c>
      <c r="AC107">
        <v>97.5</v>
      </c>
      <c r="AD107">
        <v>97.6</v>
      </c>
      <c r="AE107">
        <v>98.1</v>
      </c>
      <c r="AF107">
        <v>98.5</v>
      </c>
      <c r="AG107">
        <v>98.8</v>
      </c>
      <c r="AH107">
        <v>97</v>
      </c>
      <c r="AI107">
        <v>99.2</v>
      </c>
      <c r="AJ107">
        <v>100</v>
      </c>
      <c r="AK107">
        <v>99.4</v>
      </c>
      <c r="AL107">
        <v>99.9</v>
      </c>
    </row>
    <row r="108" spans="1:38" x14ac:dyDescent="0.3">
      <c r="A108" t="s">
        <v>694</v>
      </c>
      <c r="B108" t="s">
        <v>640</v>
      </c>
      <c r="C108" t="s">
        <v>519</v>
      </c>
      <c r="N108">
        <v>25.915838451978964</v>
      </c>
      <c r="O108">
        <v>26.506829488407313</v>
      </c>
      <c r="P108">
        <v>28.505213182117132</v>
      </c>
      <c r="Q108">
        <v>29.901977543405639</v>
      </c>
      <c r="R108">
        <v>30.321647359829225</v>
      </c>
      <c r="S108">
        <v>31.306453052181755</v>
      </c>
      <c r="T108">
        <v>34.58178654502278</v>
      </c>
      <c r="U108">
        <v>34.419130893251953</v>
      </c>
      <c r="V108">
        <v>35.84111981423203</v>
      </c>
      <c r="W108">
        <v>37.336810953431801</v>
      </c>
      <c r="X108">
        <v>38.219611041056581</v>
      </c>
      <c r="Y108">
        <v>39.586523327768944</v>
      </c>
      <c r="Z108">
        <v>42.309505079250648</v>
      </c>
      <c r="AA108">
        <v>42.99891873229349</v>
      </c>
      <c r="AB108">
        <v>44.511269313457746</v>
      </c>
      <c r="AC108">
        <v>46.707145666883861</v>
      </c>
      <c r="AD108">
        <v>50.662625801459363</v>
      </c>
      <c r="AE108">
        <v>54.146885272031348</v>
      </c>
      <c r="AF108">
        <v>54.944848916889882</v>
      </c>
      <c r="AG108">
        <v>56.737776469473303</v>
      </c>
      <c r="AH108">
        <v>58.23966538212165</v>
      </c>
      <c r="AI108">
        <v>59.744371831828637</v>
      </c>
      <c r="AJ108">
        <v>60.26100288830083</v>
      </c>
      <c r="AK108">
        <v>61.922564012199864</v>
      </c>
      <c r="AL108">
        <v>63.673246936198694</v>
      </c>
    </row>
    <row r="109" spans="1:38" x14ac:dyDescent="0.3">
      <c r="A109" t="s">
        <v>276</v>
      </c>
      <c r="B109" t="s">
        <v>106</v>
      </c>
      <c r="C109" t="s">
        <v>519</v>
      </c>
      <c r="D109">
        <v>100</v>
      </c>
      <c r="E109">
        <v>100</v>
      </c>
      <c r="F109">
        <v>100</v>
      </c>
      <c r="G109">
        <v>100</v>
      </c>
      <c r="H109">
        <v>100</v>
      </c>
      <c r="I109">
        <v>100</v>
      </c>
      <c r="J109">
        <v>100</v>
      </c>
      <c r="K109">
        <v>100</v>
      </c>
      <c r="L109">
        <v>100</v>
      </c>
      <c r="M109">
        <v>100</v>
      </c>
      <c r="N109">
        <v>100</v>
      </c>
      <c r="O109">
        <v>100</v>
      </c>
      <c r="P109">
        <v>100</v>
      </c>
      <c r="Q109">
        <v>100</v>
      </c>
      <c r="R109">
        <v>100</v>
      </c>
      <c r="S109">
        <v>100</v>
      </c>
      <c r="T109">
        <v>100</v>
      </c>
      <c r="U109">
        <v>100</v>
      </c>
      <c r="V109">
        <v>100</v>
      </c>
      <c r="W109">
        <v>100</v>
      </c>
      <c r="X109">
        <v>100</v>
      </c>
      <c r="Y109">
        <v>100</v>
      </c>
      <c r="Z109">
        <v>100</v>
      </c>
      <c r="AA109">
        <v>100</v>
      </c>
      <c r="AB109">
        <v>100</v>
      </c>
      <c r="AC109">
        <v>100</v>
      </c>
      <c r="AD109">
        <v>100</v>
      </c>
      <c r="AE109">
        <v>100</v>
      </c>
      <c r="AF109">
        <v>100</v>
      </c>
      <c r="AG109">
        <v>100</v>
      </c>
      <c r="AH109">
        <v>100</v>
      </c>
      <c r="AI109">
        <v>100</v>
      </c>
      <c r="AJ109">
        <v>100</v>
      </c>
      <c r="AK109">
        <v>100</v>
      </c>
      <c r="AL109">
        <v>100</v>
      </c>
    </row>
    <row r="110" spans="1:38" x14ac:dyDescent="0.3">
      <c r="A110" t="s">
        <v>187</v>
      </c>
      <c r="B110" t="s">
        <v>565</v>
      </c>
      <c r="C110" t="s">
        <v>519</v>
      </c>
      <c r="G110">
        <v>50.9</v>
      </c>
      <c r="H110">
        <v>49.811309814453097</v>
      </c>
      <c r="I110">
        <v>51.408775329589801</v>
      </c>
      <c r="J110">
        <v>53.0035209655762</v>
      </c>
      <c r="K110">
        <v>54.594863891601598</v>
      </c>
      <c r="L110">
        <v>56.182132720947301</v>
      </c>
      <c r="M110">
        <v>60.1</v>
      </c>
      <c r="N110">
        <v>60.3</v>
      </c>
      <c r="O110">
        <v>62</v>
      </c>
      <c r="P110">
        <v>62.3</v>
      </c>
      <c r="Q110">
        <v>65.400000000000006</v>
      </c>
      <c r="R110">
        <v>64.400000000000006</v>
      </c>
      <c r="S110">
        <v>68.8</v>
      </c>
      <c r="T110">
        <v>67.900000000000006</v>
      </c>
      <c r="U110">
        <v>72.3</v>
      </c>
      <c r="V110">
        <v>74.099999999999994</v>
      </c>
      <c r="W110">
        <v>75</v>
      </c>
      <c r="X110">
        <v>76.3</v>
      </c>
      <c r="Y110">
        <v>79.5</v>
      </c>
      <c r="Z110">
        <v>79.900000000000006</v>
      </c>
      <c r="AA110">
        <v>83.1</v>
      </c>
      <c r="AB110">
        <v>85.1</v>
      </c>
      <c r="AC110">
        <v>88</v>
      </c>
      <c r="AD110">
        <v>89.6</v>
      </c>
      <c r="AE110">
        <v>91.8</v>
      </c>
      <c r="AF110">
        <v>95.7</v>
      </c>
      <c r="AG110">
        <v>95.9</v>
      </c>
      <c r="AH110">
        <v>96.5</v>
      </c>
      <c r="AI110">
        <v>99.6</v>
      </c>
      <c r="AJ110">
        <v>99.2</v>
      </c>
      <c r="AK110">
        <v>99.5</v>
      </c>
      <c r="AL110">
        <v>99.9</v>
      </c>
    </row>
    <row r="111" spans="1:38" x14ac:dyDescent="0.3">
      <c r="A111" t="s">
        <v>490</v>
      </c>
      <c r="B111" t="s">
        <v>348</v>
      </c>
      <c r="C111" t="s">
        <v>519</v>
      </c>
    </row>
    <row r="112" spans="1:38" x14ac:dyDescent="0.3">
      <c r="A112" t="s">
        <v>96</v>
      </c>
      <c r="B112" t="s">
        <v>54</v>
      </c>
      <c r="C112" t="s">
        <v>519</v>
      </c>
      <c r="D112">
        <v>100</v>
      </c>
      <c r="E112">
        <v>100</v>
      </c>
      <c r="F112">
        <v>100</v>
      </c>
      <c r="G112">
        <v>100</v>
      </c>
      <c r="H112">
        <v>100</v>
      </c>
      <c r="I112">
        <v>100</v>
      </c>
      <c r="J112">
        <v>100</v>
      </c>
      <c r="K112">
        <v>100</v>
      </c>
      <c r="L112">
        <v>100</v>
      </c>
      <c r="M112">
        <v>100</v>
      </c>
      <c r="N112">
        <v>100</v>
      </c>
      <c r="O112">
        <v>100</v>
      </c>
      <c r="P112">
        <v>100</v>
      </c>
      <c r="Q112">
        <v>100</v>
      </c>
      <c r="R112">
        <v>100</v>
      </c>
      <c r="S112">
        <v>100</v>
      </c>
      <c r="T112">
        <v>100</v>
      </c>
      <c r="U112">
        <v>100</v>
      </c>
      <c r="V112">
        <v>100</v>
      </c>
      <c r="W112">
        <v>100</v>
      </c>
      <c r="X112">
        <v>100</v>
      </c>
      <c r="Y112">
        <v>100</v>
      </c>
      <c r="Z112">
        <v>100</v>
      </c>
      <c r="AA112">
        <v>100</v>
      </c>
      <c r="AB112">
        <v>100</v>
      </c>
      <c r="AC112">
        <v>100</v>
      </c>
      <c r="AD112">
        <v>100</v>
      </c>
      <c r="AE112">
        <v>100</v>
      </c>
      <c r="AF112">
        <v>100</v>
      </c>
      <c r="AG112">
        <v>100</v>
      </c>
      <c r="AH112">
        <v>100</v>
      </c>
      <c r="AI112">
        <v>100</v>
      </c>
      <c r="AJ112">
        <v>100</v>
      </c>
      <c r="AK112">
        <v>100</v>
      </c>
      <c r="AL112">
        <v>100</v>
      </c>
    </row>
    <row r="113" spans="1:38" x14ac:dyDescent="0.3">
      <c r="A113" t="s">
        <v>390</v>
      </c>
      <c r="B113" t="s">
        <v>166</v>
      </c>
      <c r="C113" t="s">
        <v>519</v>
      </c>
      <c r="N113">
        <v>97.9</v>
      </c>
      <c r="O113">
        <v>98.1</v>
      </c>
      <c r="P113">
        <v>98.1</v>
      </c>
      <c r="Q113">
        <v>98.2</v>
      </c>
      <c r="R113">
        <v>98.3</v>
      </c>
      <c r="S113">
        <v>98.4</v>
      </c>
      <c r="T113">
        <v>98.4</v>
      </c>
      <c r="U113">
        <v>98.7</v>
      </c>
      <c r="V113">
        <v>98.8</v>
      </c>
      <c r="W113">
        <v>99.7</v>
      </c>
      <c r="X113">
        <v>99.4</v>
      </c>
      <c r="Y113">
        <v>99.5</v>
      </c>
      <c r="Z113">
        <v>99.5</v>
      </c>
      <c r="AA113">
        <v>99.8</v>
      </c>
      <c r="AB113">
        <v>100</v>
      </c>
      <c r="AC113">
        <v>100</v>
      </c>
      <c r="AD113">
        <v>100</v>
      </c>
      <c r="AE113">
        <v>99.9</v>
      </c>
      <c r="AF113">
        <v>100</v>
      </c>
      <c r="AG113">
        <v>100</v>
      </c>
      <c r="AH113">
        <v>100</v>
      </c>
      <c r="AI113">
        <v>100</v>
      </c>
      <c r="AJ113">
        <v>100</v>
      </c>
      <c r="AK113">
        <v>100</v>
      </c>
      <c r="AL113">
        <v>100</v>
      </c>
    </row>
    <row r="114" spans="1:38" x14ac:dyDescent="0.3">
      <c r="A114" t="s">
        <v>0</v>
      </c>
      <c r="B114" t="s">
        <v>509</v>
      </c>
      <c r="C114" t="s">
        <v>519</v>
      </c>
      <c r="N114">
        <v>96.8</v>
      </c>
      <c r="O114">
        <v>96.9</v>
      </c>
      <c r="P114">
        <v>97.1</v>
      </c>
      <c r="Q114">
        <v>97.2</v>
      </c>
      <c r="R114">
        <v>97.3</v>
      </c>
      <c r="S114">
        <v>97.4</v>
      </c>
      <c r="T114">
        <v>97.6</v>
      </c>
      <c r="U114">
        <v>98.1</v>
      </c>
      <c r="V114">
        <v>97.9</v>
      </c>
      <c r="W114">
        <v>98.1</v>
      </c>
      <c r="X114">
        <v>98.4</v>
      </c>
      <c r="Y114">
        <v>98</v>
      </c>
      <c r="Z114">
        <v>99.3</v>
      </c>
      <c r="AA114">
        <v>99</v>
      </c>
      <c r="AB114">
        <v>99.2</v>
      </c>
      <c r="AC114">
        <v>99.4</v>
      </c>
      <c r="AD114">
        <v>99.7</v>
      </c>
      <c r="AE114">
        <v>99.9</v>
      </c>
      <c r="AF114">
        <v>99.9</v>
      </c>
      <c r="AG114">
        <v>100</v>
      </c>
      <c r="AH114">
        <v>100</v>
      </c>
      <c r="AI114">
        <v>100</v>
      </c>
      <c r="AJ114">
        <v>100</v>
      </c>
      <c r="AK114">
        <v>100</v>
      </c>
      <c r="AL114">
        <v>100</v>
      </c>
    </row>
    <row r="115" spans="1:38" x14ac:dyDescent="0.3">
      <c r="A115" t="s">
        <v>28</v>
      </c>
      <c r="B115" t="s">
        <v>132</v>
      </c>
      <c r="C115" t="s">
        <v>519</v>
      </c>
      <c r="D115">
        <v>100</v>
      </c>
      <c r="E115">
        <v>100</v>
      </c>
      <c r="F115">
        <v>100</v>
      </c>
      <c r="G115">
        <v>100</v>
      </c>
      <c r="H115">
        <v>100</v>
      </c>
      <c r="I115">
        <v>100</v>
      </c>
      <c r="J115">
        <v>100</v>
      </c>
      <c r="K115">
        <v>100</v>
      </c>
      <c r="L115">
        <v>100</v>
      </c>
      <c r="M115">
        <v>100</v>
      </c>
      <c r="N115">
        <v>100</v>
      </c>
      <c r="O115">
        <v>100</v>
      </c>
      <c r="P115">
        <v>100</v>
      </c>
      <c r="Q115">
        <v>100</v>
      </c>
      <c r="R115">
        <v>100</v>
      </c>
      <c r="S115">
        <v>100</v>
      </c>
      <c r="T115">
        <v>100</v>
      </c>
      <c r="U115">
        <v>100</v>
      </c>
      <c r="V115">
        <v>100</v>
      </c>
      <c r="W115">
        <v>100</v>
      </c>
      <c r="X115">
        <v>100</v>
      </c>
      <c r="Y115">
        <v>100</v>
      </c>
      <c r="Z115">
        <v>100</v>
      </c>
      <c r="AA115">
        <v>100</v>
      </c>
      <c r="AB115">
        <v>100</v>
      </c>
      <c r="AC115">
        <v>100</v>
      </c>
      <c r="AD115">
        <v>100</v>
      </c>
      <c r="AE115">
        <v>100</v>
      </c>
      <c r="AF115">
        <v>100</v>
      </c>
      <c r="AG115">
        <v>100</v>
      </c>
      <c r="AH115">
        <v>100</v>
      </c>
      <c r="AI115">
        <v>100</v>
      </c>
      <c r="AJ115">
        <v>100</v>
      </c>
      <c r="AK115">
        <v>100</v>
      </c>
      <c r="AL115">
        <v>100</v>
      </c>
    </row>
    <row r="116" spans="1:38" x14ac:dyDescent="0.3">
      <c r="A116" t="s">
        <v>456</v>
      </c>
      <c r="B116" t="s">
        <v>636</v>
      </c>
      <c r="C116" t="s">
        <v>519</v>
      </c>
      <c r="D116">
        <v>100</v>
      </c>
      <c r="E116">
        <v>100</v>
      </c>
      <c r="F116">
        <v>100</v>
      </c>
      <c r="G116">
        <v>100</v>
      </c>
      <c r="H116">
        <v>100</v>
      </c>
      <c r="I116">
        <v>100</v>
      </c>
      <c r="J116">
        <v>100</v>
      </c>
      <c r="K116">
        <v>100</v>
      </c>
      <c r="L116">
        <v>100</v>
      </c>
      <c r="M116">
        <v>100</v>
      </c>
      <c r="N116">
        <v>100</v>
      </c>
      <c r="O116">
        <v>100</v>
      </c>
      <c r="P116">
        <v>100</v>
      </c>
      <c r="Q116">
        <v>100</v>
      </c>
      <c r="R116">
        <v>100</v>
      </c>
      <c r="S116">
        <v>100</v>
      </c>
      <c r="T116">
        <v>100</v>
      </c>
      <c r="U116">
        <v>100</v>
      </c>
      <c r="V116">
        <v>100</v>
      </c>
      <c r="W116">
        <v>100</v>
      </c>
      <c r="X116">
        <v>100</v>
      </c>
      <c r="Y116">
        <v>100</v>
      </c>
      <c r="Z116">
        <v>100</v>
      </c>
      <c r="AA116">
        <v>100</v>
      </c>
      <c r="AB116">
        <v>100</v>
      </c>
      <c r="AC116">
        <v>100</v>
      </c>
      <c r="AD116">
        <v>100</v>
      </c>
      <c r="AE116">
        <v>100</v>
      </c>
      <c r="AF116">
        <v>100</v>
      </c>
      <c r="AG116">
        <v>100</v>
      </c>
      <c r="AH116">
        <v>100</v>
      </c>
      <c r="AI116">
        <v>100</v>
      </c>
      <c r="AJ116">
        <v>100</v>
      </c>
      <c r="AK116">
        <v>100</v>
      </c>
      <c r="AL116">
        <v>100</v>
      </c>
    </row>
    <row r="117" spans="1:38" x14ac:dyDescent="0.3">
      <c r="A117" t="s">
        <v>159</v>
      </c>
      <c r="B117" t="s">
        <v>534</v>
      </c>
      <c r="C117" t="s">
        <v>519</v>
      </c>
      <c r="D117">
        <v>100</v>
      </c>
      <c r="E117">
        <v>100</v>
      </c>
      <c r="F117">
        <v>100</v>
      </c>
      <c r="G117">
        <v>100</v>
      </c>
      <c r="H117">
        <v>100</v>
      </c>
      <c r="I117">
        <v>100</v>
      </c>
      <c r="J117">
        <v>100</v>
      </c>
      <c r="K117">
        <v>100</v>
      </c>
      <c r="L117">
        <v>100</v>
      </c>
      <c r="M117">
        <v>100</v>
      </c>
      <c r="N117">
        <v>100</v>
      </c>
      <c r="O117">
        <v>100</v>
      </c>
      <c r="P117">
        <v>100</v>
      </c>
      <c r="Q117">
        <v>100</v>
      </c>
      <c r="R117">
        <v>100</v>
      </c>
      <c r="S117">
        <v>100</v>
      </c>
      <c r="T117">
        <v>100</v>
      </c>
      <c r="U117">
        <v>100</v>
      </c>
      <c r="V117">
        <v>100</v>
      </c>
      <c r="W117">
        <v>100</v>
      </c>
      <c r="X117">
        <v>100</v>
      </c>
      <c r="Y117">
        <v>100</v>
      </c>
      <c r="Z117">
        <v>100</v>
      </c>
      <c r="AA117">
        <v>100</v>
      </c>
      <c r="AB117">
        <v>100</v>
      </c>
      <c r="AC117">
        <v>100</v>
      </c>
      <c r="AD117">
        <v>100</v>
      </c>
      <c r="AE117">
        <v>100</v>
      </c>
      <c r="AF117">
        <v>100</v>
      </c>
      <c r="AG117">
        <v>100</v>
      </c>
      <c r="AH117">
        <v>100</v>
      </c>
      <c r="AI117">
        <v>100</v>
      </c>
      <c r="AJ117">
        <v>100</v>
      </c>
      <c r="AK117">
        <v>100</v>
      </c>
      <c r="AL117">
        <v>100</v>
      </c>
    </row>
    <row r="118" spans="1:38" x14ac:dyDescent="0.3">
      <c r="A118" t="s">
        <v>116</v>
      </c>
      <c r="B118" t="s">
        <v>666</v>
      </c>
      <c r="C118" t="s">
        <v>519</v>
      </c>
      <c r="D118">
        <v>70.334586000000002</v>
      </c>
      <c r="E118">
        <v>77.228866577148395</v>
      </c>
      <c r="F118">
        <v>78.032920837402301</v>
      </c>
      <c r="G118">
        <v>78.836296081542997</v>
      </c>
      <c r="H118">
        <v>79.638313293457003</v>
      </c>
      <c r="I118">
        <v>80.438293457031307</v>
      </c>
      <c r="J118">
        <v>85.706045000000003</v>
      </c>
      <c r="K118">
        <v>82.029403686523395</v>
      </c>
      <c r="L118">
        <v>82.819175720214801</v>
      </c>
      <c r="M118">
        <v>84.554112000000003</v>
      </c>
      <c r="N118">
        <v>84.4</v>
      </c>
      <c r="O118">
        <v>87.7</v>
      </c>
      <c r="P118">
        <v>86.7</v>
      </c>
      <c r="Q118">
        <v>86.5</v>
      </c>
      <c r="R118">
        <v>87.2</v>
      </c>
      <c r="S118">
        <v>88</v>
      </c>
      <c r="T118">
        <v>88.7</v>
      </c>
      <c r="U118">
        <v>89.4</v>
      </c>
      <c r="V118">
        <v>92</v>
      </c>
      <c r="W118">
        <v>91</v>
      </c>
      <c r="X118">
        <v>92.2</v>
      </c>
      <c r="Y118">
        <v>91.1</v>
      </c>
      <c r="Z118">
        <v>93.1</v>
      </c>
      <c r="AA118">
        <v>93.9</v>
      </c>
      <c r="AB118">
        <v>93.3</v>
      </c>
      <c r="AC118">
        <v>94.9</v>
      </c>
      <c r="AD118">
        <v>96.6</v>
      </c>
      <c r="AE118">
        <v>97.4</v>
      </c>
      <c r="AF118">
        <v>98.2</v>
      </c>
      <c r="AG118">
        <v>98.9</v>
      </c>
      <c r="AH118">
        <v>99.7</v>
      </c>
      <c r="AI118">
        <v>100</v>
      </c>
      <c r="AJ118">
        <v>100</v>
      </c>
      <c r="AK118">
        <v>97.7</v>
      </c>
      <c r="AL118">
        <v>97.7</v>
      </c>
    </row>
    <row r="119" spans="1:38" x14ac:dyDescent="0.3">
      <c r="A119" t="s">
        <v>544</v>
      </c>
      <c r="B119" t="s">
        <v>284</v>
      </c>
      <c r="C119" t="s">
        <v>519</v>
      </c>
      <c r="D119">
        <v>96.8</v>
      </c>
      <c r="E119">
        <v>97.854682922363295</v>
      </c>
      <c r="F119">
        <v>97.974861145019503</v>
      </c>
      <c r="G119">
        <v>98.0943603515625</v>
      </c>
      <c r="H119">
        <v>98.212501525878906</v>
      </c>
      <c r="I119">
        <v>98.328598022460895</v>
      </c>
      <c r="J119">
        <v>98.441978454589801</v>
      </c>
      <c r="K119">
        <v>98.9</v>
      </c>
      <c r="L119">
        <v>98.657852172851605</v>
      </c>
      <c r="M119">
        <v>98.7589111328125</v>
      </c>
      <c r="N119">
        <v>99</v>
      </c>
      <c r="O119">
        <v>99</v>
      </c>
      <c r="P119">
        <v>99.5</v>
      </c>
      <c r="Q119">
        <v>99</v>
      </c>
      <c r="R119">
        <v>99.2</v>
      </c>
      <c r="S119">
        <v>99</v>
      </c>
      <c r="T119">
        <v>100</v>
      </c>
      <c r="U119">
        <v>98.8</v>
      </c>
      <c r="V119">
        <v>100</v>
      </c>
      <c r="W119">
        <v>99.4</v>
      </c>
      <c r="X119">
        <v>100</v>
      </c>
      <c r="Y119">
        <v>99.6</v>
      </c>
      <c r="Z119">
        <v>99.5</v>
      </c>
      <c r="AA119">
        <v>99.7</v>
      </c>
      <c r="AB119">
        <v>99.8</v>
      </c>
      <c r="AC119">
        <v>99.9</v>
      </c>
      <c r="AD119">
        <v>100</v>
      </c>
      <c r="AE119">
        <v>100</v>
      </c>
      <c r="AF119">
        <v>99.9</v>
      </c>
      <c r="AG119">
        <v>99.9</v>
      </c>
      <c r="AH119">
        <v>99.9</v>
      </c>
      <c r="AI119">
        <v>99.9</v>
      </c>
      <c r="AJ119">
        <v>100</v>
      </c>
      <c r="AK119">
        <v>100</v>
      </c>
      <c r="AL119">
        <v>100</v>
      </c>
    </row>
    <row r="120" spans="1:38" x14ac:dyDescent="0.3">
      <c r="A120" t="s">
        <v>696</v>
      </c>
      <c r="B120" t="s">
        <v>535</v>
      </c>
      <c r="C120" t="s">
        <v>519</v>
      </c>
      <c r="D120">
        <v>100</v>
      </c>
      <c r="E120">
        <v>100</v>
      </c>
      <c r="F120">
        <v>100</v>
      </c>
      <c r="G120">
        <v>100</v>
      </c>
      <c r="H120">
        <v>100</v>
      </c>
      <c r="I120">
        <v>100</v>
      </c>
      <c r="J120">
        <v>100</v>
      </c>
      <c r="K120">
        <v>100</v>
      </c>
      <c r="L120">
        <v>100</v>
      </c>
      <c r="M120">
        <v>100</v>
      </c>
      <c r="N120">
        <v>100</v>
      </c>
      <c r="O120">
        <v>100</v>
      </c>
      <c r="P120">
        <v>100</v>
      </c>
      <c r="Q120">
        <v>100</v>
      </c>
      <c r="R120">
        <v>100</v>
      </c>
      <c r="S120">
        <v>100</v>
      </c>
      <c r="T120">
        <v>100</v>
      </c>
      <c r="U120">
        <v>100</v>
      </c>
      <c r="V120">
        <v>100</v>
      </c>
      <c r="W120">
        <v>100</v>
      </c>
      <c r="X120">
        <v>100</v>
      </c>
      <c r="Y120">
        <v>100</v>
      </c>
      <c r="Z120">
        <v>100</v>
      </c>
      <c r="AA120">
        <v>100</v>
      </c>
      <c r="AB120">
        <v>100</v>
      </c>
      <c r="AC120">
        <v>100</v>
      </c>
      <c r="AD120">
        <v>100</v>
      </c>
      <c r="AE120">
        <v>100</v>
      </c>
      <c r="AF120">
        <v>100</v>
      </c>
      <c r="AG120">
        <v>100</v>
      </c>
      <c r="AH120">
        <v>100</v>
      </c>
      <c r="AI120">
        <v>100</v>
      </c>
      <c r="AJ120">
        <v>100</v>
      </c>
      <c r="AK120">
        <v>100</v>
      </c>
      <c r="AL120">
        <v>100</v>
      </c>
    </row>
    <row r="121" spans="1:38" x14ac:dyDescent="0.3">
      <c r="A121" t="s">
        <v>77</v>
      </c>
      <c r="B121" t="s">
        <v>265</v>
      </c>
      <c r="C121" t="s">
        <v>519</v>
      </c>
      <c r="I121">
        <v>99.9</v>
      </c>
      <c r="J121">
        <v>99.192115783691406</v>
      </c>
      <c r="K121">
        <v>99.269470214843807</v>
      </c>
      <c r="L121">
        <v>99.342750549316406</v>
      </c>
      <c r="M121">
        <v>97</v>
      </c>
      <c r="N121">
        <v>99.6</v>
      </c>
      <c r="O121">
        <v>99.7</v>
      </c>
      <c r="P121">
        <v>99.8</v>
      </c>
      <c r="Q121">
        <v>99.9</v>
      </c>
      <c r="R121">
        <v>100</v>
      </c>
      <c r="S121">
        <v>100</v>
      </c>
      <c r="T121">
        <v>99.8</v>
      </c>
      <c r="U121">
        <v>100</v>
      </c>
      <c r="V121">
        <v>100</v>
      </c>
      <c r="W121">
        <v>100</v>
      </c>
      <c r="X121">
        <v>100</v>
      </c>
      <c r="Y121">
        <v>99.8</v>
      </c>
      <c r="Z121">
        <v>100</v>
      </c>
      <c r="AA121">
        <v>100</v>
      </c>
      <c r="AB121">
        <v>100</v>
      </c>
      <c r="AC121">
        <v>100</v>
      </c>
      <c r="AD121">
        <v>100</v>
      </c>
      <c r="AE121">
        <v>100</v>
      </c>
      <c r="AF121">
        <v>100</v>
      </c>
      <c r="AG121">
        <v>100</v>
      </c>
      <c r="AH121">
        <v>100</v>
      </c>
      <c r="AI121">
        <v>100</v>
      </c>
      <c r="AJ121">
        <v>100</v>
      </c>
      <c r="AK121">
        <v>100</v>
      </c>
      <c r="AL121">
        <v>100</v>
      </c>
    </row>
    <row r="122" spans="1:38" x14ac:dyDescent="0.3">
      <c r="A122" t="s">
        <v>701</v>
      </c>
      <c r="B122" t="s">
        <v>660</v>
      </c>
      <c r="C122" t="s">
        <v>519</v>
      </c>
      <c r="G122">
        <v>10.9</v>
      </c>
      <c r="H122">
        <v>3.4734368324279798</v>
      </c>
      <c r="I122">
        <v>5.4273433685302699</v>
      </c>
      <c r="J122">
        <v>7.3785305023193404</v>
      </c>
      <c r="K122">
        <v>9.3263177871704102</v>
      </c>
      <c r="L122">
        <v>14.5</v>
      </c>
      <c r="M122">
        <v>13.2088918685913</v>
      </c>
      <c r="N122">
        <v>15.2</v>
      </c>
      <c r="O122">
        <v>17</v>
      </c>
      <c r="P122">
        <v>18.899999999999999</v>
      </c>
      <c r="Q122">
        <v>16</v>
      </c>
      <c r="R122">
        <v>22.6</v>
      </c>
      <c r="S122">
        <v>24.5</v>
      </c>
      <c r="T122">
        <v>26.4</v>
      </c>
      <c r="U122">
        <v>28.3</v>
      </c>
      <c r="V122">
        <v>30.3</v>
      </c>
      <c r="W122">
        <v>23</v>
      </c>
      <c r="X122">
        <v>19.2</v>
      </c>
      <c r="Y122">
        <v>36.200000000000003</v>
      </c>
      <c r="Z122">
        <v>38.1</v>
      </c>
      <c r="AA122">
        <v>40.1</v>
      </c>
      <c r="AB122">
        <v>36</v>
      </c>
      <c r="AC122">
        <v>41.6</v>
      </c>
      <c r="AD122">
        <v>53.1</v>
      </c>
      <c r="AE122">
        <v>55.8</v>
      </c>
      <c r="AF122">
        <v>61.2</v>
      </c>
      <c r="AG122">
        <v>69.7</v>
      </c>
      <c r="AH122">
        <v>71.5</v>
      </c>
      <c r="AI122">
        <v>76.5</v>
      </c>
      <c r="AJ122">
        <v>76</v>
      </c>
      <c r="AK122">
        <v>76.2</v>
      </c>
      <c r="AL122">
        <v>77</v>
      </c>
    </row>
    <row r="123" spans="1:38" x14ac:dyDescent="0.3">
      <c r="A123" t="s">
        <v>439</v>
      </c>
      <c r="B123" t="s">
        <v>393</v>
      </c>
      <c r="C123" t="s">
        <v>519</v>
      </c>
      <c r="K123">
        <v>99.8</v>
      </c>
      <c r="L123">
        <v>99.553825378417997</v>
      </c>
      <c r="M123">
        <v>99.565582275390597</v>
      </c>
      <c r="N123">
        <v>99.6</v>
      </c>
      <c r="O123">
        <v>99.5</v>
      </c>
      <c r="P123">
        <v>100</v>
      </c>
      <c r="Q123">
        <v>99.4</v>
      </c>
      <c r="R123">
        <v>99.3</v>
      </c>
      <c r="S123">
        <v>99.4</v>
      </c>
      <c r="T123">
        <v>98.9</v>
      </c>
      <c r="U123">
        <v>99.5</v>
      </c>
      <c r="V123">
        <v>99.5</v>
      </c>
      <c r="W123">
        <v>99.5</v>
      </c>
      <c r="X123">
        <v>99</v>
      </c>
      <c r="Y123">
        <v>98.3</v>
      </c>
      <c r="Z123">
        <v>99.8</v>
      </c>
      <c r="AA123">
        <v>98.9</v>
      </c>
      <c r="AB123">
        <v>99.8</v>
      </c>
      <c r="AC123">
        <v>98.7</v>
      </c>
      <c r="AD123">
        <v>99.7</v>
      </c>
      <c r="AE123">
        <v>100</v>
      </c>
      <c r="AF123">
        <v>100</v>
      </c>
      <c r="AG123">
        <v>99.9</v>
      </c>
      <c r="AH123">
        <v>99.9</v>
      </c>
      <c r="AI123">
        <v>99.7</v>
      </c>
      <c r="AJ123">
        <v>99.7</v>
      </c>
      <c r="AK123">
        <v>100</v>
      </c>
      <c r="AL123">
        <v>100</v>
      </c>
    </row>
    <row r="124" spans="1:38" x14ac:dyDescent="0.3">
      <c r="A124" t="s">
        <v>639</v>
      </c>
      <c r="B124" t="s">
        <v>673</v>
      </c>
      <c r="C124" t="s">
        <v>519</v>
      </c>
      <c r="L124">
        <v>18.670000000000002</v>
      </c>
      <c r="M124">
        <v>8.8200368881225604</v>
      </c>
      <c r="N124">
        <v>16.600000000000001</v>
      </c>
      <c r="O124">
        <v>9.5</v>
      </c>
      <c r="P124">
        <v>13.1</v>
      </c>
      <c r="Q124">
        <v>19.3</v>
      </c>
      <c r="R124">
        <v>14.2</v>
      </c>
      <c r="S124">
        <v>20.5</v>
      </c>
      <c r="T124">
        <v>27.5</v>
      </c>
      <c r="U124">
        <v>20.2</v>
      </c>
      <c r="V124">
        <v>26.4</v>
      </c>
      <c r="W124">
        <v>25.6</v>
      </c>
      <c r="X124">
        <v>31.1</v>
      </c>
      <c r="Y124">
        <v>37.4</v>
      </c>
      <c r="Z124">
        <v>42.3</v>
      </c>
      <c r="AA124">
        <v>50.9</v>
      </c>
      <c r="AB124">
        <v>56.1</v>
      </c>
      <c r="AC124">
        <v>62.7</v>
      </c>
      <c r="AD124">
        <v>68.8</v>
      </c>
      <c r="AE124">
        <v>89.1</v>
      </c>
      <c r="AF124">
        <v>80.7</v>
      </c>
      <c r="AG124">
        <v>84</v>
      </c>
      <c r="AH124">
        <v>86.4</v>
      </c>
      <c r="AI124">
        <v>82.5</v>
      </c>
      <c r="AJ124">
        <v>92.3</v>
      </c>
      <c r="AK124">
        <v>95</v>
      </c>
      <c r="AL124">
        <v>99.2</v>
      </c>
    </row>
    <row r="125" spans="1:38" x14ac:dyDescent="0.3">
      <c r="A125" t="s">
        <v>603</v>
      </c>
      <c r="B125" t="s">
        <v>497</v>
      </c>
      <c r="C125" t="s">
        <v>519</v>
      </c>
      <c r="N125">
        <v>55.6</v>
      </c>
      <c r="O125">
        <v>57.3</v>
      </c>
      <c r="P125">
        <v>59</v>
      </c>
      <c r="Q125">
        <v>60.7</v>
      </c>
      <c r="R125">
        <v>62.4</v>
      </c>
      <c r="S125">
        <v>69.7</v>
      </c>
      <c r="T125">
        <v>68.8</v>
      </c>
      <c r="U125">
        <v>67.7</v>
      </c>
      <c r="V125">
        <v>69.400000000000006</v>
      </c>
      <c r="W125">
        <v>64.2</v>
      </c>
      <c r="X125">
        <v>63.2</v>
      </c>
      <c r="Y125">
        <v>74.900000000000006</v>
      </c>
      <c r="Z125">
        <v>76.7</v>
      </c>
      <c r="AA125">
        <v>78.8</v>
      </c>
      <c r="AB125">
        <v>83.4</v>
      </c>
      <c r="AC125">
        <v>90.6</v>
      </c>
      <c r="AD125">
        <v>92.6</v>
      </c>
      <c r="AE125">
        <v>85.7</v>
      </c>
      <c r="AF125">
        <v>87.5</v>
      </c>
      <c r="AG125">
        <v>89.3</v>
      </c>
      <c r="AH125">
        <v>91</v>
      </c>
      <c r="AI125">
        <v>92.8</v>
      </c>
      <c r="AJ125">
        <v>94.4</v>
      </c>
      <c r="AK125">
        <v>95.9</v>
      </c>
      <c r="AL125">
        <v>97.7</v>
      </c>
    </row>
    <row r="126" spans="1:38" x14ac:dyDescent="0.3">
      <c r="A126" t="s">
        <v>151</v>
      </c>
      <c r="B126" t="s">
        <v>364</v>
      </c>
      <c r="C126" t="s">
        <v>519</v>
      </c>
      <c r="D126">
        <v>91.306816101074205</v>
      </c>
      <c r="E126">
        <v>91.671173095703097</v>
      </c>
      <c r="F126">
        <v>92.035430908203097</v>
      </c>
      <c r="G126">
        <v>92.399002075195298</v>
      </c>
      <c r="H126">
        <v>92.761207580566406</v>
      </c>
      <c r="I126">
        <v>93.121383666992202</v>
      </c>
      <c r="J126">
        <v>93.478836059570298</v>
      </c>
      <c r="K126">
        <v>93.8328857421875</v>
      </c>
      <c r="L126">
        <v>94.182861328125</v>
      </c>
      <c r="M126">
        <v>94.527992248535199</v>
      </c>
      <c r="N126">
        <v>95.4</v>
      </c>
      <c r="O126">
        <v>93.5</v>
      </c>
      <c r="P126">
        <v>95.8</v>
      </c>
      <c r="Q126">
        <v>96</v>
      </c>
      <c r="R126">
        <v>96.3</v>
      </c>
      <c r="S126">
        <v>96.5</v>
      </c>
      <c r="T126">
        <v>96.7</v>
      </c>
      <c r="U126">
        <v>97</v>
      </c>
      <c r="V126">
        <v>97.3</v>
      </c>
      <c r="W126">
        <v>97.6</v>
      </c>
      <c r="X126">
        <v>99.8</v>
      </c>
      <c r="Y126">
        <v>100</v>
      </c>
      <c r="Z126">
        <v>100</v>
      </c>
      <c r="AA126">
        <v>100</v>
      </c>
      <c r="AB126">
        <v>100</v>
      </c>
      <c r="AC126">
        <v>100</v>
      </c>
      <c r="AD126">
        <v>100</v>
      </c>
      <c r="AE126">
        <v>100</v>
      </c>
      <c r="AF126">
        <v>100</v>
      </c>
      <c r="AG126">
        <v>100</v>
      </c>
      <c r="AH126">
        <v>100</v>
      </c>
      <c r="AI126">
        <v>100</v>
      </c>
      <c r="AJ126">
        <v>100</v>
      </c>
      <c r="AK126">
        <v>100</v>
      </c>
      <c r="AL126">
        <v>100</v>
      </c>
    </row>
    <row r="127" spans="1:38" x14ac:dyDescent="0.3">
      <c r="A127" t="s">
        <v>177</v>
      </c>
      <c r="B127" t="s">
        <v>632</v>
      </c>
      <c r="C127" t="s">
        <v>519</v>
      </c>
      <c r="D127">
        <v>99.882843017578097</v>
      </c>
      <c r="E127">
        <v>99.912673950195298</v>
      </c>
      <c r="F127">
        <v>99.942214965820298</v>
      </c>
      <c r="G127">
        <v>99.969436645507798</v>
      </c>
      <c r="H127">
        <v>99.989120483398395</v>
      </c>
      <c r="I127">
        <v>100</v>
      </c>
      <c r="J127">
        <v>100</v>
      </c>
      <c r="K127">
        <v>100</v>
      </c>
      <c r="L127">
        <v>100</v>
      </c>
      <c r="M127">
        <v>100</v>
      </c>
      <c r="N127">
        <v>100</v>
      </c>
      <c r="O127">
        <v>100</v>
      </c>
      <c r="P127">
        <v>100</v>
      </c>
      <c r="Q127">
        <v>100</v>
      </c>
      <c r="R127">
        <v>100</v>
      </c>
      <c r="S127">
        <v>100</v>
      </c>
      <c r="T127">
        <v>100</v>
      </c>
      <c r="U127">
        <v>100</v>
      </c>
      <c r="V127">
        <v>100</v>
      </c>
      <c r="W127">
        <v>100</v>
      </c>
      <c r="X127">
        <v>100</v>
      </c>
      <c r="Y127">
        <v>100</v>
      </c>
      <c r="Z127">
        <v>100</v>
      </c>
      <c r="AA127">
        <v>100</v>
      </c>
      <c r="AB127">
        <v>100</v>
      </c>
      <c r="AC127">
        <v>100</v>
      </c>
      <c r="AD127">
        <v>100</v>
      </c>
      <c r="AE127">
        <v>100</v>
      </c>
      <c r="AF127">
        <v>100</v>
      </c>
      <c r="AG127">
        <v>100</v>
      </c>
      <c r="AH127">
        <v>100</v>
      </c>
      <c r="AI127">
        <v>100</v>
      </c>
      <c r="AJ127">
        <v>100</v>
      </c>
      <c r="AK127">
        <v>100</v>
      </c>
      <c r="AL127">
        <v>100</v>
      </c>
    </row>
    <row r="128" spans="1:38" x14ac:dyDescent="0.3">
      <c r="A128" t="s">
        <v>689</v>
      </c>
      <c r="B128" t="s">
        <v>479</v>
      </c>
      <c r="C128" t="s">
        <v>519</v>
      </c>
      <c r="D128">
        <v>100</v>
      </c>
      <c r="E128">
        <v>100</v>
      </c>
      <c r="F128">
        <v>100</v>
      </c>
      <c r="G128">
        <v>100</v>
      </c>
      <c r="H128">
        <v>100</v>
      </c>
      <c r="I128">
        <v>100</v>
      </c>
      <c r="J128">
        <v>100</v>
      </c>
      <c r="K128">
        <v>100</v>
      </c>
      <c r="L128">
        <v>100</v>
      </c>
      <c r="M128">
        <v>100</v>
      </c>
      <c r="N128">
        <v>100</v>
      </c>
      <c r="O128">
        <v>100</v>
      </c>
      <c r="P128">
        <v>100</v>
      </c>
      <c r="Q128">
        <v>100</v>
      </c>
      <c r="R128">
        <v>100</v>
      </c>
      <c r="S128">
        <v>100</v>
      </c>
      <c r="T128">
        <v>100</v>
      </c>
      <c r="U128">
        <v>100</v>
      </c>
      <c r="V128">
        <v>100</v>
      </c>
      <c r="W128">
        <v>100</v>
      </c>
      <c r="X128">
        <v>100</v>
      </c>
      <c r="Y128">
        <v>100</v>
      </c>
      <c r="Z128">
        <v>100</v>
      </c>
      <c r="AA128">
        <v>100</v>
      </c>
      <c r="AB128">
        <v>100</v>
      </c>
      <c r="AC128">
        <v>100</v>
      </c>
      <c r="AD128">
        <v>100</v>
      </c>
      <c r="AE128">
        <v>100</v>
      </c>
      <c r="AF128">
        <v>100</v>
      </c>
      <c r="AG128">
        <v>100</v>
      </c>
      <c r="AH128">
        <v>100</v>
      </c>
      <c r="AI128">
        <v>100</v>
      </c>
      <c r="AJ128">
        <v>100</v>
      </c>
      <c r="AK128">
        <v>100</v>
      </c>
      <c r="AL128">
        <v>100</v>
      </c>
    </row>
    <row r="129" spans="1:38" x14ac:dyDescent="0.3">
      <c r="A129" t="s">
        <v>260</v>
      </c>
      <c r="B129" t="s">
        <v>492</v>
      </c>
      <c r="C129" t="s">
        <v>519</v>
      </c>
      <c r="F129">
        <v>88.421272812856301</v>
      </c>
      <c r="G129">
        <v>89.07456033169143</v>
      </c>
      <c r="H129">
        <v>90.019237660229663</v>
      </c>
      <c r="I129">
        <v>88.306694379100776</v>
      </c>
      <c r="J129">
        <v>89.324357266582666</v>
      </c>
      <c r="K129">
        <v>89.772643094629004</v>
      </c>
      <c r="L129">
        <v>90.388104415499825</v>
      </c>
      <c r="M129">
        <v>91.045966965086066</v>
      </c>
      <c r="N129">
        <v>91.468979526512086</v>
      </c>
      <c r="O129">
        <v>92.105198379918619</v>
      </c>
      <c r="P129">
        <v>92.436029131376216</v>
      </c>
      <c r="Q129">
        <v>92.439701604994028</v>
      </c>
      <c r="R129">
        <v>93.018214976288306</v>
      </c>
      <c r="S129">
        <v>93.336392321028129</v>
      </c>
      <c r="T129">
        <v>94.054189115195939</v>
      </c>
      <c r="U129">
        <v>94.316845227705741</v>
      </c>
      <c r="V129">
        <v>95.099515194056053</v>
      </c>
      <c r="W129">
        <v>95.270991942646731</v>
      </c>
      <c r="X129">
        <v>95.750113830139625</v>
      </c>
      <c r="Y129">
        <v>96.064634181947227</v>
      </c>
      <c r="Z129">
        <v>96.446039931142721</v>
      </c>
      <c r="AA129">
        <v>96.772770365733294</v>
      </c>
      <c r="AB129">
        <v>96.951189945654392</v>
      </c>
      <c r="AC129">
        <v>97.199838836684776</v>
      </c>
      <c r="AD129">
        <v>97.389531796543196</v>
      </c>
      <c r="AE129">
        <v>97.634595657263304</v>
      </c>
      <c r="AF129">
        <v>97.672004177154278</v>
      </c>
      <c r="AG129">
        <v>97.926748032486202</v>
      </c>
      <c r="AH129">
        <v>98.072653978773502</v>
      </c>
      <c r="AI129">
        <v>98.208047876557913</v>
      </c>
      <c r="AJ129">
        <v>98.533260697282088</v>
      </c>
      <c r="AK129">
        <v>98.348001499770973</v>
      </c>
      <c r="AL129">
        <v>97.993301113319262</v>
      </c>
    </row>
    <row r="130" spans="1:38" x14ac:dyDescent="0.3">
      <c r="A130" t="s">
        <v>543</v>
      </c>
      <c r="B130" t="s">
        <v>221</v>
      </c>
      <c r="C130" t="s">
        <v>519</v>
      </c>
      <c r="G130">
        <v>31</v>
      </c>
      <c r="H130">
        <v>25.605792999267599</v>
      </c>
      <c r="I130">
        <v>25</v>
      </c>
      <c r="J130">
        <v>31.2476997375488</v>
      </c>
      <c r="K130">
        <v>34.063896179199197</v>
      </c>
      <c r="L130">
        <v>36.876010894775398</v>
      </c>
      <c r="M130">
        <v>39.683284759521499</v>
      </c>
      <c r="N130">
        <v>42.6</v>
      </c>
      <c r="O130">
        <v>45.3</v>
      </c>
      <c r="P130">
        <v>46.3</v>
      </c>
      <c r="Q130">
        <v>48</v>
      </c>
      <c r="R130">
        <v>53.5</v>
      </c>
      <c r="S130">
        <v>57.2</v>
      </c>
      <c r="T130">
        <v>57</v>
      </c>
      <c r="U130">
        <v>55</v>
      </c>
      <c r="V130">
        <v>66</v>
      </c>
      <c r="W130">
        <v>67.400000000000006</v>
      </c>
      <c r="X130">
        <v>70.2</v>
      </c>
      <c r="Y130">
        <v>70</v>
      </c>
      <c r="Z130">
        <v>76.400000000000006</v>
      </c>
      <c r="AA130">
        <v>79.3</v>
      </c>
      <c r="AB130">
        <v>82.5</v>
      </c>
      <c r="AC130">
        <v>89.7</v>
      </c>
      <c r="AD130">
        <v>89</v>
      </c>
      <c r="AE130">
        <v>93.6</v>
      </c>
      <c r="AF130">
        <v>92.9</v>
      </c>
      <c r="AG130">
        <v>98.4</v>
      </c>
      <c r="AH130">
        <v>99.3</v>
      </c>
      <c r="AI130">
        <v>100</v>
      </c>
      <c r="AJ130">
        <v>100</v>
      </c>
      <c r="AK130">
        <v>96.5</v>
      </c>
      <c r="AL130">
        <v>96.5</v>
      </c>
    </row>
    <row r="131" spans="1:38" x14ac:dyDescent="0.3">
      <c r="A131" t="s">
        <v>416</v>
      </c>
      <c r="B131" t="s">
        <v>239</v>
      </c>
      <c r="C131" t="s">
        <v>519</v>
      </c>
      <c r="N131">
        <v>99.3</v>
      </c>
      <c r="O131">
        <v>99.3</v>
      </c>
      <c r="P131">
        <v>99.3</v>
      </c>
      <c r="Q131">
        <v>99.2</v>
      </c>
      <c r="R131">
        <v>99.9</v>
      </c>
      <c r="S131">
        <v>99.2</v>
      </c>
      <c r="T131">
        <v>99.4</v>
      </c>
      <c r="U131">
        <v>97.8</v>
      </c>
      <c r="V131">
        <v>99.9</v>
      </c>
      <c r="W131">
        <v>99.3</v>
      </c>
      <c r="X131">
        <v>99.5</v>
      </c>
      <c r="Y131">
        <v>99.7</v>
      </c>
      <c r="Z131">
        <v>99.5</v>
      </c>
      <c r="AA131">
        <v>99.6</v>
      </c>
      <c r="AB131">
        <v>99.7</v>
      </c>
      <c r="AC131">
        <v>99.7</v>
      </c>
      <c r="AD131">
        <v>99.8</v>
      </c>
      <c r="AE131">
        <v>99.9</v>
      </c>
      <c r="AF131">
        <v>99.7</v>
      </c>
      <c r="AG131">
        <v>100</v>
      </c>
      <c r="AH131">
        <v>100</v>
      </c>
      <c r="AI131">
        <v>100</v>
      </c>
      <c r="AJ131">
        <v>100</v>
      </c>
      <c r="AK131">
        <v>100</v>
      </c>
      <c r="AL131">
        <v>100</v>
      </c>
    </row>
    <row r="132" spans="1:38" x14ac:dyDescent="0.3">
      <c r="A132" t="s">
        <v>224</v>
      </c>
      <c r="B132" t="s">
        <v>627</v>
      </c>
      <c r="C132" t="s">
        <v>519</v>
      </c>
      <c r="U132">
        <v>3</v>
      </c>
      <c r="V132">
        <v>1.3</v>
      </c>
      <c r="W132">
        <v>1.9</v>
      </c>
      <c r="X132">
        <v>5.3</v>
      </c>
      <c r="Y132">
        <v>4.0999999999999996</v>
      </c>
      <c r="Z132">
        <v>9.3000000000000007</v>
      </c>
      <c r="AA132">
        <v>9.8000000000000007</v>
      </c>
      <c r="AB132">
        <v>9.4</v>
      </c>
      <c r="AC132">
        <v>15.2</v>
      </c>
      <c r="AD132">
        <v>17.7</v>
      </c>
      <c r="AE132">
        <v>24.2</v>
      </c>
      <c r="AF132">
        <v>22.8</v>
      </c>
      <c r="AG132">
        <v>23.1</v>
      </c>
      <c r="AH132">
        <v>27.6</v>
      </c>
      <c r="AI132">
        <v>29.8</v>
      </c>
      <c r="AJ132">
        <v>31.8</v>
      </c>
      <c r="AK132">
        <v>32.5</v>
      </c>
      <c r="AL132">
        <v>34.9</v>
      </c>
    </row>
    <row r="133" spans="1:38" x14ac:dyDescent="0.3">
      <c r="A133" t="s">
        <v>524</v>
      </c>
      <c r="B133" t="s">
        <v>631</v>
      </c>
      <c r="C133" t="s">
        <v>519</v>
      </c>
      <c r="N133">
        <v>99.8</v>
      </c>
      <c r="O133">
        <v>96.9</v>
      </c>
      <c r="P133">
        <v>95.2</v>
      </c>
      <c r="Q133">
        <v>93.5</v>
      </c>
      <c r="R133">
        <v>91.8</v>
      </c>
      <c r="S133">
        <v>90.1</v>
      </c>
      <c r="T133">
        <v>88.4</v>
      </c>
      <c r="U133">
        <v>86.8</v>
      </c>
      <c r="V133">
        <v>85.1</v>
      </c>
      <c r="W133">
        <v>83.5</v>
      </c>
      <c r="X133">
        <v>81.900000000000006</v>
      </c>
      <c r="Y133">
        <v>80.3</v>
      </c>
      <c r="Z133">
        <v>78.7</v>
      </c>
      <c r="AA133">
        <v>77.099999999999994</v>
      </c>
      <c r="AB133">
        <v>75.5</v>
      </c>
      <c r="AC133">
        <v>73.8</v>
      </c>
      <c r="AD133">
        <v>72.2</v>
      </c>
      <c r="AE133">
        <v>70.599999999999994</v>
      </c>
      <c r="AF133">
        <v>67</v>
      </c>
      <c r="AG133">
        <v>68.5</v>
      </c>
      <c r="AH133">
        <v>69.400000000000006</v>
      </c>
      <c r="AI133">
        <v>70.2</v>
      </c>
      <c r="AJ133">
        <v>70</v>
      </c>
      <c r="AK133">
        <v>73.2</v>
      </c>
      <c r="AL133">
        <v>77.400000000000006</v>
      </c>
    </row>
    <row r="134" spans="1:38" x14ac:dyDescent="0.3">
      <c r="A134" t="s">
        <v>485</v>
      </c>
      <c r="B134" t="s">
        <v>355</v>
      </c>
      <c r="C134" t="s">
        <v>519</v>
      </c>
      <c r="N134">
        <v>86</v>
      </c>
      <c r="O134">
        <v>89.9</v>
      </c>
      <c r="P134">
        <v>87.7</v>
      </c>
      <c r="Q134">
        <v>88.5</v>
      </c>
      <c r="R134">
        <v>89.3</v>
      </c>
      <c r="S134">
        <v>90.1</v>
      </c>
      <c r="T134">
        <v>90.9</v>
      </c>
      <c r="U134">
        <v>91.8</v>
      </c>
      <c r="V134">
        <v>92.7</v>
      </c>
      <c r="W134">
        <v>93.5</v>
      </c>
      <c r="X134">
        <v>94.2</v>
      </c>
      <c r="Y134">
        <v>95.4</v>
      </c>
      <c r="Z134">
        <v>95.3</v>
      </c>
      <c r="AA134">
        <v>97.2</v>
      </c>
      <c r="AB134">
        <v>98.1</v>
      </c>
      <c r="AC134">
        <v>99</v>
      </c>
      <c r="AD134">
        <v>99.8</v>
      </c>
      <c r="AE134">
        <v>99.9</v>
      </c>
      <c r="AF134">
        <v>100</v>
      </c>
      <c r="AG134">
        <v>100</v>
      </c>
      <c r="AH134">
        <v>100</v>
      </c>
      <c r="AI134">
        <v>100</v>
      </c>
      <c r="AJ134">
        <v>100</v>
      </c>
      <c r="AK134">
        <v>100</v>
      </c>
      <c r="AL134">
        <v>100</v>
      </c>
    </row>
    <row r="135" spans="1:38" x14ac:dyDescent="0.3">
      <c r="A135" t="s">
        <v>572</v>
      </c>
      <c r="B135" t="s">
        <v>162</v>
      </c>
      <c r="C135" t="s">
        <v>519</v>
      </c>
      <c r="F135">
        <v>88.734481362226347</v>
      </c>
      <c r="G135">
        <v>89.343452335519032</v>
      </c>
      <c r="H135">
        <v>90.241013703307772</v>
      </c>
      <c r="I135">
        <v>88.621263596698057</v>
      </c>
      <c r="J135">
        <v>89.576268844563799</v>
      </c>
      <c r="K135">
        <v>90.030900876532783</v>
      </c>
      <c r="L135">
        <v>90.648251905524802</v>
      </c>
      <c r="M135">
        <v>91.257638294872194</v>
      </c>
      <c r="N135">
        <v>91.736086427756632</v>
      </c>
      <c r="O135">
        <v>92.332550773397543</v>
      </c>
      <c r="P135">
        <v>92.655446118844992</v>
      </c>
      <c r="Q135">
        <v>92.73840883345818</v>
      </c>
      <c r="R135">
        <v>93.219141010335576</v>
      </c>
      <c r="S135">
        <v>93.522744236308341</v>
      </c>
      <c r="T135">
        <v>94.259334622501257</v>
      </c>
      <c r="U135">
        <v>94.476542195932339</v>
      </c>
      <c r="V135">
        <v>95.223080828900891</v>
      </c>
      <c r="W135">
        <v>95.426662402836911</v>
      </c>
      <c r="X135">
        <v>95.878387553278046</v>
      </c>
      <c r="Y135">
        <v>96.184103120050835</v>
      </c>
      <c r="Z135">
        <v>96.569234553016017</v>
      </c>
      <c r="AA135">
        <v>96.864682228680479</v>
      </c>
      <c r="AB135">
        <v>97.054025417086109</v>
      </c>
      <c r="AC135">
        <v>97.284727607431392</v>
      </c>
      <c r="AD135">
        <v>97.478382134228696</v>
      </c>
      <c r="AE135">
        <v>97.710599217417709</v>
      </c>
      <c r="AF135">
        <v>97.75671520799095</v>
      </c>
      <c r="AG135">
        <v>97.998211387048471</v>
      </c>
      <c r="AH135">
        <v>98.147276074843575</v>
      </c>
      <c r="AI135">
        <v>98.27563061404787</v>
      </c>
      <c r="AJ135">
        <v>98.578878624617829</v>
      </c>
      <c r="AK135">
        <v>98.422617730805527</v>
      </c>
      <c r="AL135">
        <v>98.045911159133098</v>
      </c>
    </row>
    <row r="136" spans="1:38" x14ac:dyDescent="0.3">
      <c r="A136" t="s">
        <v>257</v>
      </c>
      <c r="B136" t="s">
        <v>558</v>
      </c>
      <c r="C136" t="s">
        <v>519</v>
      </c>
      <c r="N136">
        <v>20.229788886797266</v>
      </c>
      <c r="O136">
        <v>20.998523820677015</v>
      </c>
      <c r="P136">
        <v>22.982739395958721</v>
      </c>
      <c r="Q136">
        <v>24.520770365064621</v>
      </c>
      <c r="R136">
        <v>24.909781655202448</v>
      </c>
      <c r="S136">
        <v>26.271049003968642</v>
      </c>
      <c r="T136">
        <v>29.140104741438481</v>
      </c>
      <c r="U136">
        <v>29.352113843147617</v>
      </c>
      <c r="V136">
        <v>30.740732327574559</v>
      </c>
      <c r="W136">
        <v>32.143646720626442</v>
      </c>
      <c r="X136">
        <v>33.017506929797264</v>
      </c>
      <c r="Y136">
        <v>34.496706551371723</v>
      </c>
      <c r="Z136">
        <v>37.822606668445928</v>
      </c>
      <c r="AA136">
        <v>38.229156253779934</v>
      </c>
      <c r="AB136">
        <v>39.484288162920457</v>
      </c>
      <c r="AC136">
        <v>42.311259671593795</v>
      </c>
      <c r="AD136">
        <v>46.345530050039713</v>
      </c>
      <c r="AE136">
        <v>50.206096204101428</v>
      </c>
      <c r="AF136">
        <v>51.088263571090081</v>
      </c>
      <c r="AG136">
        <v>52.879014307051555</v>
      </c>
      <c r="AH136">
        <v>54.473988298285164</v>
      </c>
      <c r="AI136">
        <v>56.105882137075561</v>
      </c>
      <c r="AJ136">
        <v>56.704410506926941</v>
      </c>
      <c r="AK136">
        <v>58.433431780589736</v>
      </c>
      <c r="AL136">
        <v>60.367670375384641</v>
      </c>
    </row>
    <row r="137" spans="1:38" x14ac:dyDescent="0.3">
      <c r="A137" t="s">
        <v>616</v>
      </c>
      <c r="B137" t="s">
        <v>63</v>
      </c>
      <c r="C137" t="s">
        <v>519</v>
      </c>
      <c r="N137">
        <v>15.87151396661795</v>
      </c>
      <c r="O137">
        <v>16.608380297153747</v>
      </c>
      <c r="P137">
        <v>17.291194626087474</v>
      </c>
      <c r="Q137">
        <v>19.01285104874253</v>
      </c>
      <c r="R137">
        <v>19.799717083203301</v>
      </c>
      <c r="S137">
        <v>19.516533718745631</v>
      </c>
      <c r="T137">
        <v>22.048910540930869</v>
      </c>
      <c r="U137">
        <v>23.574863138413562</v>
      </c>
      <c r="V137">
        <v>23.060610247897472</v>
      </c>
      <c r="W137">
        <v>24.621743966002644</v>
      </c>
      <c r="X137">
        <v>26.222992232626446</v>
      </c>
      <c r="Y137">
        <v>26.685326836679263</v>
      </c>
      <c r="Z137">
        <v>29.769170047134793</v>
      </c>
      <c r="AA137">
        <v>30.894281780545082</v>
      </c>
      <c r="AB137">
        <v>32.199023540430012</v>
      </c>
      <c r="AC137">
        <v>32.194474133540218</v>
      </c>
      <c r="AD137">
        <v>37.447961765125442</v>
      </c>
      <c r="AE137">
        <v>39.139699924668264</v>
      </c>
      <c r="AF137">
        <v>40.458675156181172</v>
      </c>
      <c r="AG137">
        <v>41.844011257843405</v>
      </c>
      <c r="AH137">
        <v>43.236730725435976</v>
      </c>
      <c r="AI137">
        <v>44.833800552773894</v>
      </c>
      <c r="AJ137">
        <v>44.958186031995467</v>
      </c>
      <c r="AK137">
        <v>46.886379154012459</v>
      </c>
      <c r="AL137">
        <v>48.800598723182709</v>
      </c>
    </row>
    <row r="138" spans="1:38" x14ac:dyDescent="0.3">
      <c r="A138" t="s">
        <v>583</v>
      </c>
      <c r="B138" t="s">
        <v>330</v>
      </c>
      <c r="C138" t="s">
        <v>519</v>
      </c>
      <c r="D138">
        <v>100</v>
      </c>
      <c r="E138">
        <v>100</v>
      </c>
      <c r="F138">
        <v>100</v>
      </c>
      <c r="G138">
        <v>100</v>
      </c>
      <c r="H138">
        <v>100</v>
      </c>
      <c r="I138">
        <v>100</v>
      </c>
      <c r="J138">
        <v>100</v>
      </c>
      <c r="K138">
        <v>100</v>
      </c>
      <c r="L138">
        <v>100</v>
      </c>
      <c r="M138">
        <v>100</v>
      </c>
      <c r="N138">
        <v>100</v>
      </c>
      <c r="O138">
        <v>100</v>
      </c>
      <c r="P138">
        <v>100</v>
      </c>
      <c r="Q138">
        <v>100</v>
      </c>
      <c r="R138">
        <v>100</v>
      </c>
      <c r="S138">
        <v>100</v>
      </c>
      <c r="T138">
        <v>100</v>
      </c>
      <c r="U138">
        <v>100</v>
      </c>
      <c r="V138">
        <v>100</v>
      </c>
      <c r="W138">
        <v>100</v>
      </c>
      <c r="X138">
        <v>100</v>
      </c>
      <c r="Y138">
        <v>100</v>
      </c>
      <c r="Z138">
        <v>100</v>
      </c>
      <c r="AA138">
        <v>100</v>
      </c>
      <c r="AB138">
        <v>100</v>
      </c>
      <c r="AC138">
        <v>100</v>
      </c>
      <c r="AD138">
        <v>100</v>
      </c>
      <c r="AE138">
        <v>100</v>
      </c>
      <c r="AF138">
        <v>100</v>
      </c>
      <c r="AG138">
        <v>100</v>
      </c>
      <c r="AH138">
        <v>100</v>
      </c>
      <c r="AI138">
        <v>100</v>
      </c>
      <c r="AJ138">
        <v>100</v>
      </c>
      <c r="AK138">
        <v>100</v>
      </c>
      <c r="AL138">
        <v>100</v>
      </c>
    </row>
    <row r="139" spans="1:38" x14ac:dyDescent="0.3">
      <c r="A139" t="s">
        <v>3</v>
      </c>
      <c r="B139" t="s">
        <v>652</v>
      </c>
      <c r="C139" t="s">
        <v>519</v>
      </c>
      <c r="N139">
        <v>70.3</v>
      </c>
      <c r="O139">
        <v>63.6</v>
      </c>
      <c r="P139">
        <v>80.7</v>
      </c>
      <c r="Q139">
        <v>75</v>
      </c>
      <c r="R139">
        <v>76.5</v>
      </c>
      <c r="S139">
        <v>78.099999999999994</v>
      </c>
      <c r="T139">
        <v>82</v>
      </c>
      <c r="U139">
        <v>80</v>
      </c>
      <c r="V139">
        <v>82.9</v>
      </c>
      <c r="W139">
        <v>87.1</v>
      </c>
      <c r="X139">
        <v>85.3</v>
      </c>
      <c r="Y139">
        <v>87.8</v>
      </c>
      <c r="Z139">
        <v>87</v>
      </c>
      <c r="AA139">
        <v>90.2</v>
      </c>
      <c r="AB139">
        <v>92.7</v>
      </c>
      <c r="AC139">
        <v>94.3</v>
      </c>
      <c r="AD139">
        <v>97.5</v>
      </c>
      <c r="AE139">
        <v>97.5</v>
      </c>
      <c r="AF139">
        <v>99.6</v>
      </c>
      <c r="AG139">
        <v>99.8</v>
      </c>
      <c r="AH139">
        <v>100</v>
      </c>
      <c r="AI139">
        <v>100</v>
      </c>
      <c r="AJ139">
        <v>100</v>
      </c>
      <c r="AK139">
        <v>100</v>
      </c>
      <c r="AL139">
        <v>100</v>
      </c>
    </row>
    <row r="140" spans="1:38" x14ac:dyDescent="0.3">
      <c r="A140" t="s">
        <v>346</v>
      </c>
      <c r="B140" t="s">
        <v>200</v>
      </c>
      <c r="C140" t="s">
        <v>519</v>
      </c>
      <c r="G140">
        <v>46.883115659238392</v>
      </c>
      <c r="H140">
        <v>46.717820742802466</v>
      </c>
      <c r="I140">
        <v>47.95218294151163</v>
      </c>
      <c r="J140">
        <v>49.673567179520653</v>
      </c>
      <c r="K140">
        <v>51.108183792129196</v>
      </c>
      <c r="L140">
        <v>53.951829105645714</v>
      </c>
      <c r="M140">
        <v>56.61360309039447</v>
      </c>
      <c r="N140">
        <v>56.518706234922377</v>
      </c>
      <c r="O140">
        <v>57.80618516321826</v>
      </c>
      <c r="P140">
        <v>58.651231056825118</v>
      </c>
      <c r="Q140">
        <v>61.206243739502661</v>
      </c>
      <c r="R140">
        <v>60.580028784755548</v>
      </c>
      <c r="S140">
        <v>63.611572865880163</v>
      </c>
      <c r="T140">
        <v>64.354692920015509</v>
      </c>
      <c r="U140">
        <v>66.521997362551772</v>
      </c>
      <c r="V140">
        <v>68.446251481174755</v>
      </c>
      <c r="W140">
        <v>69.09783215063031</v>
      </c>
      <c r="X140">
        <v>70.196940947112893</v>
      </c>
      <c r="Y140">
        <v>73.203650241261101</v>
      </c>
      <c r="Z140">
        <v>73.853074471948489</v>
      </c>
      <c r="AA140">
        <v>75.906863955283512</v>
      </c>
      <c r="AB140">
        <v>77.039884379813699</v>
      </c>
      <c r="AC140">
        <v>79.589831554736676</v>
      </c>
      <c r="AD140">
        <v>81.655941518610362</v>
      </c>
      <c r="AE140">
        <v>83.671762011664782</v>
      </c>
      <c r="AF140">
        <v>86.035898330343684</v>
      </c>
      <c r="AG140">
        <v>86.766452365351626</v>
      </c>
      <c r="AH140">
        <v>87.534043658524965</v>
      </c>
      <c r="AI140">
        <v>89.825826652814271</v>
      </c>
      <c r="AJ140">
        <v>89.947597923573923</v>
      </c>
      <c r="AK140">
        <v>90.592721675946294</v>
      </c>
      <c r="AL140">
        <v>91.358186077207819</v>
      </c>
    </row>
    <row r="141" spans="1:38" x14ac:dyDescent="0.3">
      <c r="A141" t="s">
        <v>302</v>
      </c>
      <c r="B141" t="s">
        <v>279</v>
      </c>
      <c r="C141" t="s">
        <v>519</v>
      </c>
      <c r="N141">
        <v>72.851419871674679</v>
      </c>
      <c r="O141">
        <v>73.518937530566589</v>
      </c>
      <c r="P141">
        <v>74.048394107950017</v>
      </c>
      <c r="Q141">
        <v>75.162749696426147</v>
      </c>
      <c r="R141">
        <v>75.192271029799414</v>
      </c>
      <c r="S141">
        <v>76.16222540096274</v>
      </c>
      <c r="T141">
        <v>76.99557056222389</v>
      </c>
      <c r="U141">
        <v>77.798754221898221</v>
      </c>
      <c r="V141">
        <v>78.681919816968033</v>
      </c>
      <c r="W141">
        <v>78.963255478592075</v>
      </c>
      <c r="X141">
        <v>79.690275664649292</v>
      </c>
      <c r="Y141">
        <v>81.025404164723753</v>
      </c>
      <c r="Z141">
        <v>81.556475042746129</v>
      </c>
      <c r="AA141">
        <v>82.531105183936546</v>
      </c>
      <c r="AB141">
        <v>83.145366950042501</v>
      </c>
      <c r="AC141">
        <v>84.161174168208859</v>
      </c>
      <c r="AD141">
        <v>85.524655816994425</v>
      </c>
      <c r="AE141">
        <v>86.535649085782737</v>
      </c>
      <c r="AF141">
        <v>87.608965514658877</v>
      </c>
      <c r="AG141">
        <v>88.003672041721629</v>
      </c>
      <c r="AH141">
        <v>88.370063613263355</v>
      </c>
      <c r="AI141">
        <v>89.526713360232534</v>
      </c>
      <c r="AJ141">
        <v>89.466864958368234</v>
      </c>
      <c r="AK141">
        <v>89.858312484585383</v>
      </c>
      <c r="AL141">
        <v>90.258139201509337</v>
      </c>
    </row>
    <row r="142" spans="1:38" x14ac:dyDescent="0.3">
      <c r="A142" t="s">
        <v>472</v>
      </c>
      <c r="B142" t="s">
        <v>235</v>
      </c>
      <c r="C142" t="s">
        <v>519</v>
      </c>
      <c r="N142">
        <v>4.3</v>
      </c>
      <c r="O142">
        <v>1.3</v>
      </c>
      <c r="P142">
        <v>3.4</v>
      </c>
      <c r="Q142">
        <v>5.4</v>
      </c>
      <c r="R142">
        <v>6.8</v>
      </c>
      <c r="S142">
        <v>9.6</v>
      </c>
      <c r="T142">
        <v>9.6999999999999993</v>
      </c>
      <c r="U142">
        <v>13.9</v>
      </c>
      <c r="V142">
        <v>16</v>
      </c>
      <c r="W142">
        <v>17</v>
      </c>
      <c r="X142">
        <v>17</v>
      </c>
      <c r="Y142">
        <v>22.5</v>
      </c>
      <c r="Z142">
        <v>20.6</v>
      </c>
      <c r="AA142">
        <v>26.9</v>
      </c>
      <c r="AB142">
        <v>27.8</v>
      </c>
      <c r="AC142">
        <v>31.8</v>
      </c>
      <c r="AD142">
        <v>35.1</v>
      </c>
      <c r="AE142">
        <v>33.700000000000003</v>
      </c>
      <c r="AF142">
        <v>47</v>
      </c>
      <c r="AG142">
        <v>44.6</v>
      </c>
      <c r="AH142">
        <v>47.5</v>
      </c>
      <c r="AI142">
        <v>50.4</v>
      </c>
      <c r="AJ142">
        <v>50</v>
      </c>
      <c r="AK142">
        <v>57.3</v>
      </c>
      <c r="AL142">
        <v>60.6</v>
      </c>
    </row>
    <row r="143" spans="1:38" x14ac:dyDescent="0.3">
      <c r="A143" t="s">
        <v>386</v>
      </c>
      <c r="B143" t="s">
        <v>687</v>
      </c>
      <c r="C143" t="s">
        <v>519</v>
      </c>
      <c r="N143">
        <v>95.251303888709558</v>
      </c>
      <c r="O143">
        <v>95.913498524695314</v>
      </c>
      <c r="P143">
        <v>96.253707452568747</v>
      </c>
      <c r="Q143">
        <v>96.455722748191477</v>
      </c>
      <c r="R143">
        <v>96.735983500810718</v>
      </c>
      <c r="S143">
        <v>97.166459720587909</v>
      </c>
      <c r="T143">
        <v>97.888501644346547</v>
      </c>
      <c r="U143">
        <v>97.628675010281285</v>
      </c>
      <c r="V143">
        <v>97.994926347230432</v>
      </c>
      <c r="W143">
        <v>97.688782947467516</v>
      </c>
      <c r="X143">
        <v>98.352511439472337</v>
      </c>
      <c r="Y143">
        <v>98.62602183753873</v>
      </c>
      <c r="Z143">
        <v>98.712188921250728</v>
      </c>
      <c r="AA143">
        <v>98.897967445412519</v>
      </c>
      <c r="AB143">
        <v>99.004339423842339</v>
      </c>
      <c r="AC143">
        <v>98.780221730604666</v>
      </c>
      <c r="AD143">
        <v>99.116349692260314</v>
      </c>
      <c r="AE143">
        <v>99.272112307496457</v>
      </c>
      <c r="AF143">
        <v>99.280676359323763</v>
      </c>
      <c r="AG143">
        <v>99.328977123233926</v>
      </c>
      <c r="AH143">
        <v>99.386858999340149</v>
      </c>
      <c r="AI143">
        <v>99.411618163943274</v>
      </c>
      <c r="AJ143">
        <v>99.477114832813371</v>
      </c>
      <c r="AK143">
        <v>99.457095813002923</v>
      </c>
      <c r="AL143">
        <v>99.500382197925759</v>
      </c>
    </row>
    <row r="144" spans="1:38" x14ac:dyDescent="0.3">
      <c r="A144" t="s">
        <v>394</v>
      </c>
      <c r="B144" t="s">
        <v>104</v>
      </c>
      <c r="C144" t="s">
        <v>519</v>
      </c>
      <c r="D144">
        <v>100</v>
      </c>
      <c r="E144">
        <v>100</v>
      </c>
      <c r="F144">
        <v>100</v>
      </c>
      <c r="G144">
        <v>100</v>
      </c>
      <c r="H144">
        <v>100</v>
      </c>
      <c r="I144">
        <v>100</v>
      </c>
      <c r="J144">
        <v>100</v>
      </c>
      <c r="K144">
        <v>100</v>
      </c>
      <c r="L144">
        <v>100</v>
      </c>
      <c r="M144">
        <v>100</v>
      </c>
      <c r="N144">
        <v>99.5</v>
      </c>
      <c r="O144">
        <v>99.5</v>
      </c>
      <c r="P144">
        <v>99.4</v>
      </c>
      <c r="Q144">
        <v>99.4</v>
      </c>
      <c r="R144">
        <v>99.4</v>
      </c>
      <c r="S144">
        <v>99.4</v>
      </c>
      <c r="T144">
        <v>99.4</v>
      </c>
      <c r="U144">
        <v>99.4</v>
      </c>
      <c r="V144">
        <v>99.4</v>
      </c>
      <c r="W144">
        <v>99.5</v>
      </c>
      <c r="X144">
        <v>99.7</v>
      </c>
      <c r="Y144">
        <v>99.7</v>
      </c>
      <c r="Z144">
        <v>100</v>
      </c>
      <c r="AA144">
        <v>100</v>
      </c>
      <c r="AB144">
        <v>100</v>
      </c>
      <c r="AC144">
        <v>100</v>
      </c>
      <c r="AD144">
        <v>100</v>
      </c>
      <c r="AE144">
        <v>100</v>
      </c>
      <c r="AF144">
        <v>100</v>
      </c>
      <c r="AG144">
        <v>100</v>
      </c>
      <c r="AH144">
        <v>100</v>
      </c>
      <c r="AI144">
        <v>100</v>
      </c>
      <c r="AJ144">
        <v>100</v>
      </c>
      <c r="AK144">
        <v>100</v>
      </c>
      <c r="AL144">
        <v>100</v>
      </c>
    </row>
    <row r="145" spans="1:38" x14ac:dyDescent="0.3">
      <c r="A145" t="s">
        <v>274</v>
      </c>
      <c r="B145" t="s">
        <v>515</v>
      </c>
      <c r="C145" t="s">
        <v>519</v>
      </c>
      <c r="D145">
        <v>100</v>
      </c>
      <c r="E145">
        <v>100</v>
      </c>
      <c r="F145">
        <v>100</v>
      </c>
      <c r="G145">
        <v>100</v>
      </c>
      <c r="H145">
        <v>100</v>
      </c>
      <c r="I145">
        <v>100</v>
      </c>
      <c r="J145">
        <v>100</v>
      </c>
      <c r="K145">
        <v>100</v>
      </c>
      <c r="L145">
        <v>100</v>
      </c>
      <c r="M145">
        <v>100</v>
      </c>
      <c r="N145">
        <v>100</v>
      </c>
      <c r="O145">
        <v>100</v>
      </c>
      <c r="P145">
        <v>100</v>
      </c>
      <c r="Q145">
        <v>100</v>
      </c>
      <c r="R145">
        <v>100</v>
      </c>
      <c r="S145">
        <v>100</v>
      </c>
      <c r="T145">
        <v>100</v>
      </c>
      <c r="U145">
        <v>100</v>
      </c>
      <c r="V145">
        <v>100</v>
      </c>
      <c r="W145">
        <v>100</v>
      </c>
      <c r="X145">
        <v>100</v>
      </c>
      <c r="Y145">
        <v>100</v>
      </c>
      <c r="Z145">
        <v>100</v>
      </c>
      <c r="AA145">
        <v>100</v>
      </c>
      <c r="AB145">
        <v>100</v>
      </c>
      <c r="AC145">
        <v>100</v>
      </c>
      <c r="AD145">
        <v>100</v>
      </c>
      <c r="AE145">
        <v>100</v>
      </c>
      <c r="AF145">
        <v>100</v>
      </c>
      <c r="AG145">
        <v>100</v>
      </c>
      <c r="AH145">
        <v>100</v>
      </c>
      <c r="AI145">
        <v>100</v>
      </c>
      <c r="AJ145">
        <v>100</v>
      </c>
      <c r="AK145">
        <v>100</v>
      </c>
      <c r="AL145">
        <v>100</v>
      </c>
    </row>
    <row r="146" spans="1:38" x14ac:dyDescent="0.3">
      <c r="A146" t="s">
        <v>251</v>
      </c>
      <c r="B146" t="s">
        <v>440</v>
      </c>
      <c r="C146" t="s">
        <v>519</v>
      </c>
      <c r="D146">
        <v>100</v>
      </c>
      <c r="E146">
        <v>100</v>
      </c>
      <c r="F146">
        <v>100</v>
      </c>
      <c r="G146">
        <v>100</v>
      </c>
      <c r="H146">
        <v>100</v>
      </c>
      <c r="I146">
        <v>100</v>
      </c>
      <c r="J146">
        <v>100</v>
      </c>
      <c r="K146">
        <v>100</v>
      </c>
      <c r="L146">
        <v>100</v>
      </c>
      <c r="M146">
        <v>100</v>
      </c>
      <c r="N146">
        <v>99.9</v>
      </c>
      <c r="O146">
        <v>99.9</v>
      </c>
      <c r="P146">
        <v>99.8</v>
      </c>
      <c r="Q146">
        <v>99.8</v>
      </c>
      <c r="R146">
        <v>99.7</v>
      </c>
      <c r="S146">
        <v>99.7</v>
      </c>
      <c r="T146">
        <v>99.6</v>
      </c>
      <c r="U146">
        <v>99.7</v>
      </c>
      <c r="V146">
        <v>99.7</v>
      </c>
      <c r="W146">
        <v>100</v>
      </c>
      <c r="X146">
        <v>99.8</v>
      </c>
      <c r="Y146">
        <v>99.8</v>
      </c>
      <c r="Z146">
        <v>100</v>
      </c>
      <c r="AA146">
        <v>100</v>
      </c>
      <c r="AB146">
        <v>100</v>
      </c>
      <c r="AC146">
        <v>100</v>
      </c>
      <c r="AD146">
        <v>100</v>
      </c>
      <c r="AE146">
        <v>100</v>
      </c>
      <c r="AF146">
        <v>100</v>
      </c>
      <c r="AG146">
        <v>100</v>
      </c>
      <c r="AH146">
        <v>100</v>
      </c>
      <c r="AI146">
        <v>100</v>
      </c>
      <c r="AJ146">
        <v>100</v>
      </c>
      <c r="AK146">
        <v>100</v>
      </c>
      <c r="AL146">
        <v>100</v>
      </c>
    </row>
    <row r="147" spans="1:38" x14ac:dyDescent="0.3">
      <c r="A147" t="s">
        <v>547</v>
      </c>
      <c r="B147" t="s">
        <v>280</v>
      </c>
      <c r="C147" t="s">
        <v>519</v>
      </c>
      <c r="D147">
        <v>99.849281311035199</v>
      </c>
      <c r="E147">
        <v>99.880584716796903</v>
      </c>
      <c r="F147">
        <v>99.911430358886705</v>
      </c>
      <c r="G147">
        <v>99.941619873046903</v>
      </c>
      <c r="H147">
        <v>100</v>
      </c>
      <c r="I147">
        <v>100</v>
      </c>
      <c r="J147">
        <v>100</v>
      </c>
      <c r="K147">
        <v>100</v>
      </c>
      <c r="L147">
        <v>100</v>
      </c>
      <c r="M147">
        <v>100</v>
      </c>
      <c r="N147">
        <v>100</v>
      </c>
      <c r="O147">
        <v>100</v>
      </c>
      <c r="P147">
        <v>100</v>
      </c>
      <c r="Q147">
        <v>100</v>
      </c>
      <c r="R147">
        <v>100</v>
      </c>
      <c r="S147">
        <v>100</v>
      </c>
      <c r="T147">
        <v>100</v>
      </c>
      <c r="U147">
        <v>100</v>
      </c>
      <c r="V147">
        <v>100</v>
      </c>
      <c r="W147">
        <v>100</v>
      </c>
      <c r="X147">
        <v>100</v>
      </c>
      <c r="Y147">
        <v>100</v>
      </c>
      <c r="Z147">
        <v>100</v>
      </c>
      <c r="AA147">
        <v>100</v>
      </c>
      <c r="AB147">
        <v>100</v>
      </c>
      <c r="AC147">
        <v>100</v>
      </c>
      <c r="AD147">
        <v>100</v>
      </c>
      <c r="AE147">
        <v>100</v>
      </c>
      <c r="AF147">
        <v>100</v>
      </c>
      <c r="AG147">
        <v>100</v>
      </c>
      <c r="AH147">
        <v>100</v>
      </c>
      <c r="AI147">
        <v>100</v>
      </c>
      <c r="AJ147">
        <v>100</v>
      </c>
      <c r="AK147">
        <v>100</v>
      </c>
      <c r="AL147">
        <v>100</v>
      </c>
    </row>
    <row r="148" spans="1:38" x14ac:dyDescent="0.3">
      <c r="A148" t="s">
        <v>377</v>
      </c>
      <c r="B148" t="s">
        <v>444</v>
      </c>
      <c r="C148" t="s">
        <v>519</v>
      </c>
      <c r="D148">
        <v>100</v>
      </c>
      <c r="E148">
        <v>100</v>
      </c>
      <c r="F148">
        <v>100</v>
      </c>
      <c r="G148">
        <v>100</v>
      </c>
      <c r="H148">
        <v>100</v>
      </c>
      <c r="I148">
        <v>100</v>
      </c>
      <c r="J148">
        <v>100</v>
      </c>
      <c r="K148">
        <v>100</v>
      </c>
      <c r="L148">
        <v>100</v>
      </c>
      <c r="M148">
        <v>100</v>
      </c>
      <c r="N148">
        <v>100</v>
      </c>
      <c r="O148">
        <v>99.9</v>
      </c>
      <c r="P148">
        <v>99.9</v>
      </c>
      <c r="Q148">
        <v>99.8</v>
      </c>
      <c r="R148">
        <v>99.8</v>
      </c>
      <c r="S148">
        <v>99.7</v>
      </c>
      <c r="T148">
        <v>99.7</v>
      </c>
      <c r="U148">
        <v>99.7</v>
      </c>
      <c r="V148">
        <v>99.7</v>
      </c>
      <c r="W148">
        <v>99.7</v>
      </c>
      <c r="X148">
        <v>100</v>
      </c>
      <c r="Y148">
        <v>100</v>
      </c>
      <c r="Z148">
        <v>100</v>
      </c>
      <c r="AA148">
        <v>100</v>
      </c>
      <c r="AB148">
        <v>100</v>
      </c>
      <c r="AC148">
        <v>100</v>
      </c>
      <c r="AD148">
        <v>100</v>
      </c>
      <c r="AE148">
        <v>100</v>
      </c>
      <c r="AF148">
        <v>100</v>
      </c>
      <c r="AG148">
        <v>100</v>
      </c>
      <c r="AH148">
        <v>100</v>
      </c>
      <c r="AI148">
        <v>100</v>
      </c>
      <c r="AJ148">
        <v>100</v>
      </c>
      <c r="AK148">
        <v>100</v>
      </c>
      <c r="AL148">
        <v>100</v>
      </c>
    </row>
    <row r="149" spans="1:38" x14ac:dyDescent="0.3">
      <c r="A149" t="s">
        <v>36</v>
      </c>
      <c r="B149" t="s">
        <v>184</v>
      </c>
      <c r="C149" t="s">
        <v>519</v>
      </c>
      <c r="F149">
        <v>49.2</v>
      </c>
      <c r="G149">
        <v>56.772651672363303</v>
      </c>
      <c r="H149">
        <v>58.608898162841797</v>
      </c>
      <c r="I149">
        <v>56.5</v>
      </c>
      <c r="J149">
        <v>62.274593353271499</v>
      </c>
      <c r="K149">
        <v>64.102684020996094</v>
      </c>
      <c r="L149">
        <v>65.926689147949205</v>
      </c>
      <c r="M149">
        <v>67.745857238769503</v>
      </c>
      <c r="N149">
        <v>69.8</v>
      </c>
      <c r="O149">
        <v>71.599999999999994</v>
      </c>
      <c r="P149">
        <v>73.3</v>
      </c>
      <c r="Q149">
        <v>75.099999999999994</v>
      </c>
      <c r="R149">
        <v>78.2</v>
      </c>
      <c r="S149">
        <v>78.599999999999994</v>
      </c>
      <c r="T149">
        <v>96.5</v>
      </c>
      <c r="U149">
        <v>82.2</v>
      </c>
      <c r="V149">
        <v>84.1</v>
      </c>
      <c r="W149">
        <v>85.9</v>
      </c>
      <c r="X149">
        <v>95.7</v>
      </c>
      <c r="Y149">
        <v>96.1</v>
      </c>
      <c r="Z149">
        <v>96.4</v>
      </c>
      <c r="AA149">
        <v>97.2</v>
      </c>
      <c r="AB149">
        <v>97.3</v>
      </c>
      <c r="AC149">
        <v>97.3</v>
      </c>
      <c r="AD149">
        <v>97.8</v>
      </c>
      <c r="AE149">
        <v>100</v>
      </c>
      <c r="AF149">
        <v>98.1</v>
      </c>
      <c r="AG149">
        <v>99.6</v>
      </c>
      <c r="AH149">
        <v>100</v>
      </c>
      <c r="AI149">
        <v>100</v>
      </c>
      <c r="AJ149">
        <v>100</v>
      </c>
      <c r="AK149">
        <v>100</v>
      </c>
      <c r="AL149">
        <v>100</v>
      </c>
    </row>
    <row r="150" spans="1:38" x14ac:dyDescent="0.3">
      <c r="A150" t="s">
        <v>384</v>
      </c>
      <c r="B150" t="s">
        <v>6</v>
      </c>
      <c r="C150" t="s">
        <v>519</v>
      </c>
      <c r="D150">
        <v>100</v>
      </c>
      <c r="E150">
        <v>100</v>
      </c>
      <c r="F150">
        <v>100</v>
      </c>
      <c r="G150">
        <v>100</v>
      </c>
      <c r="H150">
        <v>100</v>
      </c>
      <c r="I150">
        <v>100</v>
      </c>
      <c r="J150">
        <v>100</v>
      </c>
      <c r="K150">
        <v>100</v>
      </c>
      <c r="L150">
        <v>100</v>
      </c>
      <c r="M150">
        <v>100</v>
      </c>
      <c r="N150">
        <v>100</v>
      </c>
      <c r="O150">
        <v>100</v>
      </c>
      <c r="P150">
        <v>100</v>
      </c>
      <c r="Q150">
        <v>100</v>
      </c>
      <c r="R150">
        <v>100</v>
      </c>
      <c r="S150">
        <v>100</v>
      </c>
      <c r="T150">
        <v>100</v>
      </c>
      <c r="U150">
        <v>100</v>
      </c>
      <c r="V150">
        <v>100</v>
      </c>
      <c r="W150">
        <v>100</v>
      </c>
      <c r="X150">
        <v>100</v>
      </c>
      <c r="Y150">
        <v>100</v>
      </c>
      <c r="Z150">
        <v>100</v>
      </c>
      <c r="AA150">
        <v>100</v>
      </c>
      <c r="AB150">
        <v>100</v>
      </c>
      <c r="AC150">
        <v>100</v>
      </c>
      <c r="AD150">
        <v>100</v>
      </c>
      <c r="AE150">
        <v>100</v>
      </c>
      <c r="AF150">
        <v>100</v>
      </c>
      <c r="AG150">
        <v>100</v>
      </c>
      <c r="AH150">
        <v>100</v>
      </c>
      <c r="AI150">
        <v>100</v>
      </c>
      <c r="AJ150">
        <v>100</v>
      </c>
      <c r="AK150">
        <v>100</v>
      </c>
      <c r="AL150">
        <v>100</v>
      </c>
    </row>
    <row r="151" spans="1:38" x14ac:dyDescent="0.3">
      <c r="A151" t="s">
        <v>454</v>
      </c>
      <c r="B151" t="s">
        <v>80</v>
      </c>
      <c r="C151" t="s">
        <v>519</v>
      </c>
      <c r="D151">
        <v>100</v>
      </c>
      <c r="E151">
        <v>100</v>
      </c>
      <c r="F151">
        <v>100</v>
      </c>
      <c r="G151">
        <v>100</v>
      </c>
      <c r="H151">
        <v>100</v>
      </c>
      <c r="I151">
        <v>100</v>
      </c>
      <c r="J151">
        <v>100</v>
      </c>
      <c r="K151">
        <v>100</v>
      </c>
      <c r="L151">
        <v>100</v>
      </c>
      <c r="M151">
        <v>100</v>
      </c>
      <c r="N151">
        <v>98.7</v>
      </c>
      <c r="O151">
        <v>98.8</v>
      </c>
      <c r="P151">
        <v>99</v>
      </c>
      <c r="Q151">
        <v>98.8</v>
      </c>
      <c r="R151">
        <v>99.1</v>
      </c>
      <c r="S151">
        <v>98.6</v>
      </c>
      <c r="T151">
        <v>98.9</v>
      </c>
      <c r="U151">
        <v>99</v>
      </c>
      <c r="V151">
        <v>99.1</v>
      </c>
      <c r="W151">
        <v>99.2</v>
      </c>
      <c r="X151">
        <v>99.3</v>
      </c>
      <c r="Y151">
        <v>99.4</v>
      </c>
      <c r="Z151">
        <v>99.5</v>
      </c>
      <c r="AA151">
        <v>99.6</v>
      </c>
      <c r="AB151">
        <v>99.8</v>
      </c>
      <c r="AC151">
        <v>99.9</v>
      </c>
      <c r="AD151">
        <v>99.9</v>
      </c>
      <c r="AE151">
        <v>100</v>
      </c>
      <c r="AF151">
        <v>100</v>
      </c>
      <c r="AG151">
        <v>100</v>
      </c>
      <c r="AH151">
        <v>100</v>
      </c>
      <c r="AI151">
        <v>100</v>
      </c>
      <c r="AJ151">
        <v>100</v>
      </c>
      <c r="AK151">
        <v>100</v>
      </c>
      <c r="AL151">
        <v>100</v>
      </c>
    </row>
    <row r="152" spans="1:38" x14ac:dyDescent="0.3">
      <c r="A152" t="s">
        <v>397</v>
      </c>
      <c r="B152" t="s">
        <v>16</v>
      </c>
      <c r="C152" t="s">
        <v>519</v>
      </c>
      <c r="F152">
        <v>9.1999999999999993</v>
      </c>
      <c r="G152">
        <v>10.1056232452393</v>
      </c>
      <c r="H152">
        <v>10.561648368835399</v>
      </c>
      <c r="I152">
        <v>11.0156345367432</v>
      </c>
      <c r="J152">
        <v>11.466900825500501</v>
      </c>
      <c r="K152">
        <v>10.9</v>
      </c>
      <c r="L152">
        <v>12.3585548400879</v>
      </c>
      <c r="M152">
        <v>12.7975006103516</v>
      </c>
      <c r="N152">
        <v>12.6</v>
      </c>
      <c r="O152">
        <v>14.8</v>
      </c>
      <c r="P152">
        <v>14</v>
      </c>
      <c r="Q152">
        <v>20.3</v>
      </c>
      <c r="R152">
        <v>15.3</v>
      </c>
      <c r="S152">
        <v>16</v>
      </c>
      <c r="T152">
        <v>16.8</v>
      </c>
      <c r="U152">
        <v>17.5</v>
      </c>
      <c r="V152">
        <v>18.3</v>
      </c>
      <c r="W152">
        <v>17.399999999999999</v>
      </c>
      <c r="X152">
        <v>12.3</v>
      </c>
      <c r="Y152">
        <v>14.3</v>
      </c>
      <c r="Z152">
        <v>18.7</v>
      </c>
      <c r="AA152">
        <v>12.9</v>
      </c>
      <c r="AB152">
        <v>23</v>
      </c>
      <c r="AC152">
        <v>23.8</v>
      </c>
      <c r="AD152">
        <v>22.9</v>
      </c>
      <c r="AE152">
        <v>24.1</v>
      </c>
      <c r="AF152">
        <v>36.5</v>
      </c>
      <c r="AG152">
        <v>31</v>
      </c>
      <c r="AH152">
        <v>32</v>
      </c>
      <c r="AI152">
        <v>35.1</v>
      </c>
      <c r="AJ152">
        <v>36.1</v>
      </c>
      <c r="AK152">
        <v>39.4</v>
      </c>
      <c r="AL152">
        <v>42.5</v>
      </c>
    </row>
    <row r="153" spans="1:38" x14ac:dyDescent="0.3">
      <c r="A153" t="s">
        <v>203</v>
      </c>
      <c r="B153" t="s">
        <v>88</v>
      </c>
      <c r="C153" t="s">
        <v>519</v>
      </c>
      <c r="N153">
        <v>83.8</v>
      </c>
      <c r="O153">
        <v>87.5</v>
      </c>
      <c r="P153">
        <v>88.3</v>
      </c>
      <c r="Q153">
        <v>89.1</v>
      </c>
      <c r="R153">
        <v>90</v>
      </c>
      <c r="S153">
        <v>90.9</v>
      </c>
      <c r="T153">
        <v>91.7</v>
      </c>
      <c r="U153">
        <v>92.6</v>
      </c>
      <c r="V153">
        <v>93.6</v>
      </c>
      <c r="W153">
        <v>99.9</v>
      </c>
      <c r="X153">
        <v>99</v>
      </c>
      <c r="Y153">
        <v>99.1</v>
      </c>
      <c r="Z153">
        <v>99.2</v>
      </c>
      <c r="AA153">
        <v>99.4</v>
      </c>
      <c r="AB153">
        <v>100</v>
      </c>
      <c r="AC153">
        <v>99.8</v>
      </c>
      <c r="AD153">
        <v>100</v>
      </c>
      <c r="AE153">
        <v>99.8</v>
      </c>
      <c r="AF153">
        <v>100</v>
      </c>
      <c r="AG153">
        <v>100</v>
      </c>
      <c r="AH153">
        <v>100</v>
      </c>
      <c r="AI153">
        <v>100</v>
      </c>
      <c r="AJ153">
        <v>100</v>
      </c>
      <c r="AK153">
        <v>100</v>
      </c>
      <c r="AL153">
        <v>100</v>
      </c>
    </row>
    <row r="154" spans="1:38" x14ac:dyDescent="0.3">
      <c r="A154" t="s">
        <v>552</v>
      </c>
      <c r="B154" t="s">
        <v>147</v>
      </c>
      <c r="C154" t="s">
        <v>519</v>
      </c>
      <c r="N154">
        <v>82.569913904288768</v>
      </c>
      <c r="O154">
        <v>83.279176170200685</v>
      </c>
      <c r="P154">
        <v>83.608597936869828</v>
      </c>
      <c r="Q154">
        <v>84.584616655413612</v>
      </c>
      <c r="R154">
        <v>84.980410117053324</v>
      </c>
      <c r="S154">
        <v>85.957903666209404</v>
      </c>
      <c r="T154">
        <v>87.656582300456279</v>
      </c>
      <c r="U154">
        <v>87.151911405220048</v>
      </c>
      <c r="V154">
        <v>88.094660981396558</v>
      </c>
      <c r="W154">
        <v>88.740342855560002</v>
      </c>
      <c r="X154">
        <v>90.56081986149087</v>
      </c>
      <c r="Y154">
        <v>90.776155934710175</v>
      </c>
      <c r="Z154">
        <v>91.854121366531828</v>
      </c>
      <c r="AA154">
        <v>93.147969041644458</v>
      </c>
      <c r="AB154">
        <v>94.032095667721478</v>
      </c>
      <c r="AC154">
        <v>93.436065546111706</v>
      </c>
      <c r="AD154">
        <v>95.158764819742032</v>
      </c>
      <c r="AE154">
        <v>96.001243169197778</v>
      </c>
      <c r="AF154">
        <v>94.970686171228522</v>
      </c>
      <c r="AG154">
        <v>96.008707298460138</v>
      </c>
      <c r="AH154">
        <v>96.262120442281798</v>
      </c>
      <c r="AI154">
        <v>96.416669055369312</v>
      </c>
      <c r="AJ154">
        <v>95.863794501496415</v>
      </c>
      <c r="AK154">
        <v>96.42263674352742</v>
      </c>
      <c r="AL154">
        <v>96.773688472228642</v>
      </c>
    </row>
    <row r="155" spans="1:38" x14ac:dyDescent="0.3">
      <c r="A155" t="s">
        <v>222</v>
      </c>
      <c r="B155" t="s">
        <v>283</v>
      </c>
      <c r="C155" t="s">
        <v>519</v>
      </c>
      <c r="F155">
        <v>93.145981000000006</v>
      </c>
      <c r="G155">
        <v>95.448463439941406</v>
      </c>
      <c r="H155">
        <v>95.238293999999996</v>
      </c>
      <c r="I155">
        <v>95.894462585449205</v>
      </c>
      <c r="J155">
        <v>96.093624000000005</v>
      </c>
      <c r="K155">
        <v>96.329582214355497</v>
      </c>
      <c r="L155">
        <v>96.092754999999997</v>
      </c>
      <c r="M155">
        <v>96.748298645019503</v>
      </c>
      <c r="N155">
        <v>98</v>
      </c>
      <c r="O155">
        <v>97.1</v>
      </c>
      <c r="P155">
        <v>97.9</v>
      </c>
      <c r="Q155">
        <v>97.4</v>
      </c>
      <c r="R155">
        <v>98.6</v>
      </c>
      <c r="S155">
        <v>98.9</v>
      </c>
      <c r="T155">
        <v>99.1</v>
      </c>
      <c r="U155">
        <v>97.9</v>
      </c>
      <c r="V155">
        <v>98.9</v>
      </c>
      <c r="W155">
        <v>98.3</v>
      </c>
      <c r="X155">
        <v>99.2</v>
      </c>
      <c r="Y155">
        <v>99</v>
      </c>
      <c r="Z155">
        <v>99.1</v>
      </c>
      <c r="AA155">
        <v>99.1</v>
      </c>
      <c r="AB155">
        <v>99.2</v>
      </c>
      <c r="AC155">
        <v>99</v>
      </c>
      <c r="AD155">
        <v>99.5</v>
      </c>
      <c r="AE155">
        <v>100</v>
      </c>
      <c r="AF155">
        <v>99.5</v>
      </c>
      <c r="AG155">
        <v>99.6</v>
      </c>
      <c r="AH155">
        <v>99.4</v>
      </c>
      <c r="AI155">
        <v>100</v>
      </c>
      <c r="AJ155">
        <v>100</v>
      </c>
      <c r="AK155">
        <v>99.7</v>
      </c>
      <c r="AL155">
        <v>99.8</v>
      </c>
    </row>
    <row r="156" spans="1:38" x14ac:dyDescent="0.3">
      <c r="A156" t="s">
        <v>671</v>
      </c>
      <c r="B156" t="s">
        <v>609</v>
      </c>
      <c r="C156" t="s">
        <v>519</v>
      </c>
      <c r="M156">
        <v>68.524235875270193</v>
      </c>
      <c r="N156">
        <v>68.599999999999994</v>
      </c>
      <c r="O156">
        <v>70.099999999999994</v>
      </c>
      <c r="P156">
        <v>71.5</v>
      </c>
      <c r="Q156">
        <v>72.900000000000006</v>
      </c>
      <c r="R156">
        <v>74.3</v>
      </c>
      <c r="S156">
        <v>75.7</v>
      </c>
      <c r="T156">
        <v>77.2</v>
      </c>
      <c r="U156">
        <v>72.3</v>
      </c>
      <c r="V156">
        <v>80.2</v>
      </c>
      <c r="W156">
        <v>81.7</v>
      </c>
      <c r="X156">
        <v>89.4</v>
      </c>
      <c r="Y156">
        <v>89.9</v>
      </c>
      <c r="Z156">
        <v>90.4</v>
      </c>
      <c r="AA156">
        <v>90.9</v>
      </c>
      <c r="AB156">
        <v>91.5</v>
      </c>
      <c r="AC156">
        <v>92.1</v>
      </c>
      <c r="AD156">
        <v>92.7</v>
      </c>
      <c r="AE156">
        <v>93.8</v>
      </c>
      <c r="AF156">
        <v>95.3</v>
      </c>
      <c r="AG156">
        <v>96.8</v>
      </c>
      <c r="AH156">
        <v>98.3</v>
      </c>
      <c r="AI156">
        <v>99.8</v>
      </c>
      <c r="AJ156">
        <v>100</v>
      </c>
      <c r="AK156">
        <v>100</v>
      </c>
      <c r="AL156">
        <v>97.2</v>
      </c>
    </row>
    <row r="157" spans="1:38" x14ac:dyDescent="0.3">
      <c r="A157" t="s">
        <v>428</v>
      </c>
      <c r="B157" t="s">
        <v>568</v>
      </c>
      <c r="C157" t="s">
        <v>519</v>
      </c>
      <c r="N157">
        <v>77.278069716677351</v>
      </c>
      <c r="O157">
        <v>78.000439728233204</v>
      </c>
      <c r="P157">
        <v>78.609234303925291</v>
      </c>
      <c r="Q157">
        <v>79.754677437851385</v>
      </c>
      <c r="R157">
        <v>79.796547062045676</v>
      </c>
      <c r="S157">
        <v>80.949141729017541</v>
      </c>
      <c r="T157">
        <v>81.72183061819004</v>
      </c>
      <c r="U157">
        <v>82.677154293443763</v>
      </c>
      <c r="V157">
        <v>83.773024664982771</v>
      </c>
      <c r="W157">
        <v>84.288293565625381</v>
      </c>
      <c r="X157">
        <v>85.012249152468456</v>
      </c>
      <c r="Y157">
        <v>86.518159142721473</v>
      </c>
      <c r="Z157">
        <v>86.8660111839785</v>
      </c>
      <c r="AA157">
        <v>87.892590036442201</v>
      </c>
      <c r="AB157">
        <v>88.500202783064893</v>
      </c>
      <c r="AC157">
        <v>89.695230295020338</v>
      </c>
      <c r="AD157">
        <v>90.720201828177451</v>
      </c>
      <c r="AE157">
        <v>91.739328508493543</v>
      </c>
      <c r="AF157">
        <v>92.875339718993871</v>
      </c>
      <c r="AG157">
        <v>93.255030865415421</v>
      </c>
      <c r="AH157">
        <v>93.601758661947059</v>
      </c>
      <c r="AI157">
        <v>94.80517764935388</v>
      </c>
      <c r="AJ157">
        <v>94.823486834906575</v>
      </c>
      <c r="AK157">
        <v>95.131325537483136</v>
      </c>
      <c r="AL157">
        <v>95.442931185590808</v>
      </c>
    </row>
    <row r="158" spans="1:38" x14ac:dyDescent="0.3">
      <c r="A158" t="s">
        <v>112</v>
      </c>
      <c r="B158" t="s">
        <v>621</v>
      </c>
      <c r="C158" t="s">
        <v>519</v>
      </c>
      <c r="D158">
        <v>100</v>
      </c>
      <c r="E158">
        <v>100</v>
      </c>
      <c r="F158">
        <v>100</v>
      </c>
      <c r="G158">
        <v>100</v>
      </c>
      <c r="H158">
        <v>100</v>
      </c>
      <c r="I158">
        <v>100</v>
      </c>
      <c r="J158">
        <v>100</v>
      </c>
      <c r="K158">
        <v>100</v>
      </c>
      <c r="L158">
        <v>100</v>
      </c>
      <c r="M158">
        <v>100</v>
      </c>
      <c r="N158">
        <v>99</v>
      </c>
      <c r="O158">
        <v>99</v>
      </c>
      <c r="P158">
        <v>99</v>
      </c>
      <c r="Q158">
        <v>99</v>
      </c>
      <c r="R158">
        <v>99.4</v>
      </c>
      <c r="S158">
        <v>99.1</v>
      </c>
      <c r="T158">
        <v>99</v>
      </c>
      <c r="U158">
        <v>99.1</v>
      </c>
      <c r="V158">
        <v>99.2</v>
      </c>
      <c r="W158">
        <v>99.2</v>
      </c>
      <c r="X158">
        <v>99.5</v>
      </c>
      <c r="Y158">
        <v>99.7</v>
      </c>
      <c r="Z158">
        <v>99.6</v>
      </c>
      <c r="AA158">
        <v>99.7</v>
      </c>
      <c r="AB158">
        <v>99.8</v>
      </c>
      <c r="AC158">
        <v>99.9</v>
      </c>
      <c r="AD158">
        <v>100</v>
      </c>
      <c r="AE158">
        <v>100</v>
      </c>
      <c r="AF158">
        <v>99.8</v>
      </c>
      <c r="AG158">
        <v>100</v>
      </c>
      <c r="AH158">
        <v>100</v>
      </c>
      <c r="AI158">
        <v>100</v>
      </c>
      <c r="AJ158">
        <v>100</v>
      </c>
      <c r="AK158">
        <v>100</v>
      </c>
      <c r="AL158">
        <v>100</v>
      </c>
    </row>
    <row r="159" spans="1:38" x14ac:dyDescent="0.3">
      <c r="A159" t="s">
        <v>331</v>
      </c>
      <c r="B159" t="s">
        <v>580</v>
      </c>
      <c r="C159" t="s">
        <v>519</v>
      </c>
      <c r="J159">
        <v>6.2</v>
      </c>
      <c r="K159">
        <v>4.2885408401489302</v>
      </c>
      <c r="L159">
        <v>6.0668635368347203</v>
      </c>
      <c r="M159">
        <v>7.8403439521789604</v>
      </c>
      <c r="N159">
        <v>9.6</v>
      </c>
      <c r="O159">
        <v>10.8</v>
      </c>
      <c r="P159">
        <v>13</v>
      </c>
      <c r="Q159">
        <v>14.7</v>
      </c>
      <c r="R159">
        <v>16.399999999999999</v>
      </c>
      <c r="S159">
        <v>18.2</v>
      </c>
      <c r="T159">
        <v>16.600000000000001</v>
      </c>
      <c r="U159">
        <v>21.7</v>
      </c>
      <c r="V159">
        <v>23.4</v>
      </c>
      <c r="W159">
        <v>24</v>
      </c>
      <c r="X159">
        <v>27</v>
      </c>
      <c r="Y159">
        <v>28.8</v>
      </c>
      <c r="Z159">
        <v>25.6</v>
      </c>
      <c r="AA159">
        <v>32.4</v>
      </c>
      <c r="AB159">
        <v>34.200000000000003</v>
      </c>
      <c r="AC159">
        <v>37.6</v>
      </c>
      <c r="AD159">
        <v>38.799999999999997</v>
      </c>
      <c r="AE159">
        <v>34.799999999999997</v>
      </c>
      <c r="AF159">
        <v>50.9</v>
      </c>
      <c r="AG159">
        <v>47.9</v>
      </c>
      <c r="AH159">
        <v>50.6</v>
      </c>
      <c r="AI159">
        <v>53.4</v>
      </c>
      <c r="AJ159">
        <v>53</v>
      </c>
      <c r="AK159">
        <v>54.5</v>
      </c>
      <c r="AL159">
        <v>49.5</v>
      </c>
    </row>
    <row r="160" spans="1:38" x14ac:dyDescent="0.3">
      <c r="A160" t="s">
        <v>378</v>
      </c>
      <c r="B160" t="s">
        <v>108</v>
      </c>
      <c r="C160" t="s">
        <v>519</v>
      </c>
      <c r="D160">
        <v>100</v>
      </c>
      <c r="E160">
        <v>100</v>
      </c>
      <c r="F160">
        <v>100</v>
      </c>
      <c r="G160">
        <v>100</v>
      </c>
      <c r="H160">
        <v>100</v>
      </c>
      <c r="I160">
        <v>100</v>
      </c>
      <c r="J160">
        <v>100</v>
      </c>
      <c r="K160">
        <v>100</v>
      </c>
      <c r="L160">
        <v>100</v>
      </c>
      <c r="M160">
        <v>100</v>
      </c>
      <c r="N160">
        <v>100</v>
      </c>
      <c r="O160">
        <v>100</v>
      </c>
      <c r="P160">
        <v>100</v>
      </c>
      <c r="Q160">
        <v>100</v>
      </c>
      <c r="R160">
        <v>100</v>
      </c>
      <c r="S160">
        <v>100</v>
      </c>
      <c r="T160">
        <v>100</v>
      </c>
      <c r="U160">
        <v>100</v>
      </c>
      <c r="V160">
        <v>100</v>
      </c>
      <c r="W160">
        <v>100</v>
      </c>
      <c r="X160">
        <v>100</v>
      </c>
      <c r="Y160">
        <v>100</v>
      </c>
      <c r="Z160">
        <v>100</v>
      </c>
      <c r="AA160">
        <v>100</v>
      </c>
      <c r="AB160">
        <v>100</v>
      </c>
      <c r="AC160">
        <v>100</v>
      </c>
      <c r="AD160">
        <v>100</v>
      </c>
      <c r="AE160">
        <v>100</v>
      </c>
      <c r="AF160">
        <v>100</v>
      </c>
      <c r="AG160">
        <v>100</v>
      </c>
      <c r="AH160">
        <v>100</v>
      </c>
      <c r="AI160">
        <v>100</v>
      </c>
      <c r="AJ160">
        <v>100</v>
      </c>
      <c r="AK160">
        <v>100</v>
      </c>
      <c r="AL160">
        <v>100</v>
      </c>
    </row>
    <row r="161" spans="1:38" x14ac:dyDescent="0.3">
      <c r="A161" t="s">
        <v>403</v>
      </c>
      <c r="B161" t="s">
        <v>62</v>
      </c>
      <c r="C161" t="s">
        <v>519</v>
      </c>
      <c r="N161">
        <v>41.9</v>
      </c>
      <c r="O161">
        <v>43</v>
      </c>
      <c r="P161">
        <v>47</v>
      </c>
      <c r="Q161">
        <v>45.1</v>
      </c>
      <c r="R161">
        <v>46.2</v>
      </c>
      <c r="S161">
        <v>47.3</v>
      </c>
      <c r="T161">
        <v>48.4</v>
      </c>
      <c r="U161">
        <v>49.5</v>
      </c>
      <c r="V161">
        <v>50.6</v>
      </c>
      <c r="W161">
        <v>51.8</v>
      </c>
      <c r="X161">
        <v>48.8</v>
      </c>
      <c r="Y161">
        <v>54.1</v>
      </c>
      <c r="Z161">
        <v>55.3</v>
      </c>
      <c r="AA161">
        <v>56.5</v>
      </c>
      <c r="AB161">
        <v>52</v>
      </c>
      <c r="AC161">
        <v>60.5</v>
      </c>
      <c r="AD161">
        <v>55.6</v>
      </c>
      <c r="AE161">
        <v>69.8</v>
      </c>
      <c r="AF161">
        <v>66.099999999999994</v>
      </c>
      <c r="AG161">
        <v>68.3</v>
      </c>
      <c r="AH161">
        <v>70.400000000000006</v>
      </c>
      <c r="AI161">
        <v>72.5</v>
      </c>
      <c r="AJ161">
        <v>73.7</v>
      </c>
      <c r="AK161">
        <v>76.8</v>
      </c>
      <c r="AL161">
        <v>80.400000000000006</v>
      </c>
    </row>
    <row r="162" spans="1:38" x14ac:dyDescent="0.3">
      <c r="A162" t="s">
        <v>626</v>
      </c>
      <c r="B162" t="s">
        <v>522</v>
      </c>
      <c r="C162" t="s">
        <v>519</v>
      </c>
      <c r="N162">
        <v>81.370093945766484</v>
      </c>
      <c r="O162">
        <v>82.104162635468555</v>
      </c>
      <c r="P162">
        <v>82.433920110843403</v>
      </c>
      <c r="Q162">
        <v>83.460313057266788</v>
      </c>
      <c r="R162">
        <v>83.867411215778034</v>
      </c>
      <c r="S162">
        <v>84.900433740358395</v>
      </c>
      <c r="T162">
        <v>86.706734903516534</v>
      </c>
      <c r="U162">
        <v>86.132647922801212</v>
      </c>
      <c r="V162">
        <v>87.122792121074212</v>
      </c>
      <c r="W162">
        <v>87.801963783156353</v>
      </c>
      <c r="X162">
        <v>89.785398708953394</v>
      </c>
      <c r="Y162">
        <v>90.003268306191401</v>
      </c>
      <c r="Z162">
        <v>91.153959111532913</v>
      </c>
      <c r="AA162">
        <v>92.541018620254491</v>
      </c>
      <c r="AB162">
        <v>93.495540870713754</v>
      </c>
      <c r="AC162">
        <v>92.827763491189515</v>
      </c>
      <c r="AD162">
        <v>94.704907124104054</v>
      </c>
      <c r="AE162">
        <v>95.623022183764377</v>
      </c>
      <c r="AF162">
        <v>94.509363664815467</v>
      </c>
      <c r="AG162">
        <v>95.643747193469508</v>
      </c>
      <c r="AH162">
        <v>95.917370277519311</v>
      </c>
      <c r="AI162">
        <v>96.095601888866753</v>
      </c>
      <c r="AJ162">
        <v>95.483714372762975</v>
      </c>
      <c r="AK162">
        <v>96.08542874687339</v>
      </c>
      <c r="AL162">
        <v>96.462741571719604</v>
      </c>
    </row>
    <row r="163" spans="1:38" x14ac:dyDescent="0.3">
      <c r="A163" t="s">
        <v>383</v>
      </c>
      <c r="B163" t="s">
        <v>180</v>
      </c>
      <c r="C163" t="s">
        <v>519</v>
      </c>
      <c r="D163">
        <v>100</v>
      </c>
      <c r="E163">
        <v>100</v>
      </c>
      <c r="F163">
        <v>100</v>
      </c>
      <c r="G163">
        <v>100</v>
      </c>
      <c r="H163">
        <v>100</v>
      </c>
      <c r="I163">
        <v>100</v>
      </c>
      <c r="J163">
        <v>100</v>
      </c>
      <c r="K163">
        <v>100</v>
      </c>
      <c r="L163">
        <v>100</v>
      </c>
      <c r="M163">
        <v>100</v>
      </c>
      <c r="N163">
        <v>99.1</v>
      </c>
      <c r="O163">
        <v>99.1</v>
      </c>
      <c r="P163">
        <v>99</v>
      </c>
      <c r="Q163">
        <v>99</v>
      </c>
      <c r="R163">
        <v>99</v>
      </c>
      <c r="S163">
        <v>99.8</v>
      </c>
      <c r="T163">
        <v>99</v>
      </c>
      <c r="U163">
        <v>99</v>
      </c>
      <c r="V163">
        <v>99</v>
      </c>
      <c r="W163">
        <v>99.1</v>
      </c>
      <c r="X163">
        <v>99.2</v>
      </c>
      <c r="Y163">
        <v>99</v>
      </c>
      <c r="Z163">
        <v>99.3</v>
      </c>
      <c r="AA163">
        <v>99.7</v>
      </c>
      <c r="AB163">
        <v>97.7</v>
      </c>
      <c r="AC163">
        <v>99.5</v>
      </c>
      <c r="AD163">
        <v>99.6</v>
      </c>
      <c r="AE163">
        <v>100</v>
      </c>
      <c r="AF163">
        <v>100</v>
      </c>
      <c r="AG163">
        <v>100</v>
      </c>
      <c r="AH163">
        <v>99.9</v>
      </c>
      <c r="AI163">
        <v>99.8</v>
      </c>
      <c r="AJ163">
        <v>100</v>
      </c>
      <c r="AK163">
        <v>100</v>
      </c>
      <c r="AL163">
        <v>100</v>
      </c>
    </row>
    <row r="164" spans="1:38" x14ac:dyDescent="0.3">
      <c r="A164" t="s">
        <v>376</v>
      </c>
      <c r="B164" t="s">
        <v>451</v>
      </c>
      <c r="C164" t="s">
        <v>519</v>
      </c>
      <c r="N164">
        <v>67.3</v>
      </c>
      <c r="O164">
        <v>71.7</v>
      </c>
      <c r="P164">
        <v>72.8</v>
      </c>
      <c r="Q164">
        <v>76.3</v>
      </c>
      <c r="R164">
        <v>74.8</v>
      </c>
      <c r="S164">
        <v>86.2</v>
      </c>
      <c r="T164">
        <v>77</v>
      </c>
      <c r="U164">
        <v>78.099999999999994</v>
      </c>
      <c r="V164">
        <v>79.2</v>
      </c>
      <c r="W164">
        <v>80.3</v>
      </c>
      <c r="X164">
        <v>78.5</v>
      </c>
      <c r="Y164">
        <v>72.099999999999994</v>
      </c>
      <c r="Z164">
        <v>83.7</v>
      </c>
      <c r="AA164">
        <v>81.2</v>
      </c>
      <c r="AB164">
        <v>86</v>
      </c>
      <c r="AC164">
        <v>88</v>
      </c>
      <c r="AD164">
        <v>90.8</v>
      </c>
      <c r="AE164">
        <v>93.6</v>
      </c>
      <c r="AF164">
        <v>98.1</v>
      </c>
      <c r="AG164">
        <v>98.9</v>
      </c>
      <c r="AH164">
        <v>99.5</v>
      </c>
      <c r="AI164">
        <v>100</v>
      </c>
      <c r="AJ164">
        <v>100</v>
      </c>
      <c r="AK164">
        <v>100</v>
      </c>
      <c r="AL164">
        <v>99.1</v>
      </c>
    </row>
    <row r="165" spans="1:38" x14ac:dyDescent="0.3">
      <c r="A165" t="s">
        <v>168</v>
      </c>
      <c r="B165" t="s">
        <v>581</v>
      </c>
      <c r="C165" t="s">
        <v>519</v>
      </c>
      <c r="D165">
        <v>99.853263854980497</v>
      </c>
      <c r="E165">
        <v>99.884376525878906</v>
      </c>
      <c r="F165">
        <v>99.915031433105497</v>
      </c>
      <c r="G165">
        <v>99.944923400878906</v>
      </c>
      <c r="H165">
        <v>99.971641540527301</v>
      </c>
      <c r="I165">
        <v>100</v>
      </c>
      <c r="J165">
        <v>100</v>
      </c>
      <c r="K165">
        <v>100</v>
      </c>
      <c r="L165">
        <v>100</v>
      </c>
      <c r="M165">
        <v>100</v>
      </c>
      <c r="N165">
        <v>100</v>
      </c>
      <c r="O165">
        <v>100</v>
      </c>
      <c r="P165">
        <v>99.9</v>
      </c>
      <c r="Q165">
        <v>99.9</v>
      </c>
      <c r="R165">
        <v>99.8</v>
      </c>
      <c r="S165">
        <v>99.8</v>
      </c>
      <c r="T165">
        <v>99.7</v>
      </c>
      <c r="U165">
        <v>100</v>
      </c>
      <c r="V165">
        <v>100</v>
      </c>
      <c r="W165">
        <v>100</v>
      </c>
      <c r="X165">
        <v>100</v>
      </c>
      <c r="Y165">
        <v>100</v>
      </c>
      <c r="Z165">
        <v>100</v>
      </c>
      <c r="AA165">
        <v>100</v>
      </c>
      <c r="AB165">
        <v>100</v>
      </c>
      <c r="AC165">
        <v>100</v>
      </c>
      <c r="AD165">
        <v>100</v>
      </c>
      <c r="AE165">
        <v>100</v>
      </c>
      <c r="AF165">
        <v>100</v>
      </c>
      <c r="AG165">
        <v>100</v>
      </c>
      <c r="AH165">
        <v>100</v>
      </c>
      <c r="AI165">
        <v>100</v>
      </c>
      <c r="AJ165">
        <v>100</v>
      </c>
      <c r="AK165">
        <v>100</v>
      </c>
      <c r="AL165">
        <v>100</v>
      </c>
    </row>
    <row r="166" spans="1:38" x14ac:dyDescent="0.3">
      <c r="A166" t="s">
        <v>574</v>
      </c>
      <c r="B166" t="s">
        <v>127</v>
      </c>
      <c r="C166" t="s">
        <v>519</v>
      </c>
      <c r="K166">
        <v>6.6</v>
      </c>
      <c r="L166">
        <v>3.66317558288574</v>
      </c>
      <c r="M166">
        <v>4.8791236877441397</v>
      </c>
      <c r="N166">
        <v>6.1</v>
      </c>
      <c r="O166">
        <v>5.7</v>
      </c>
      <c r="P166">
        <v>8.4</v>
      </c>
      <c r="Q166">
        <v>8.1</v>
      </c>
      <c r="R166">
        <v>10.7</v>
      </c>
      <c r="S166">
        <v>11.8</v>
      </c>
      <c r="T166">
        <v>13</v>
      </c>
      <c r="U166">
        <v>12.4</v>
      </c>
      <c r="V166">
        <v>13.6</v>
      </c>
      <c r="W166">
        <v>15</v>
      </c>
      <c r="X166">
        <v>18.899999999999999</v>
      </c>
      <c r="Y166">
        <v>20.2</v>
      </c>
      <c r="Z166">
        <v>21.2</v>
      </c>
      <c r="AA166">
        <v>22.4</v>
      </c>
      <c r="AB166">
        <v>24.8</v>
      </c>
      <c r="AC166">
        <v>24</v>
      </c>
      <c r="AD166">
        <v>26.2</v>
      </c>
      <c r="AE166">
        <v>24.3</v>
      </c>
      <c r="AF166">
        <v>31.1</v>
      </c>
      <c r="AG166">
        <v>29.7</v>
      </c>
      <c r="AH166">
        <v>30.6</v>
      </c>
      <c r="AI166">
        <v>31.5</v>
      </c>
      <c r="AJ166">
        <v>33.200000000000003</v>
      </c>
      <c r="AK166">
        <v>36</v>
      </c>
      <c r="AL166">
        <v>36.9</v>
      </c>
    </row>
    <row r="167" spans="1:38" x14ac:dyDescent="0.3">
      <c r="A167" t="s">
        <v>55</v>
      </c>
      <c r="B167" t="s">
        <v>389</v>
      </c>
      <c r="C167" t="s">
        <v>519</v>
      </c>
      <c r="N167">
        <v>19.100000000000001</v>
      </c>
      <c r="O167">
        <v>22.2</v>
      </c>
      <c r="P167">
        <v>21.7</v>
      </c>
      <c r="Q167">
        <v>23</v>
      </c>
      <c r="R167">
        <v>24.3</v>
      </c>
      <c r="S167">
        <v>18.2</v>
      </c>
      <c r="T167">
        <v>27</v>
      </c>
      <c r="U167">
        <v>33</v>
      </c>
      <c r="V167">
        <v>30</v>
      </c>
      <c r="W167">
        <v>31.1</v>
      </c>
      <c r="X167">
        <v>34.200000000000003</v>
      </c>
      <c r="Y167">
        <v>35.299999999999997</v>
      </c>
      <c r="Z167">
        <v>36.4</v>
      </c>
      <c r="AA167">
        <v>37.6</v>
      </c>
      <c r="AB167">
        <v>38.799999999999997</v>
      </c>
      <c r="AC167">
        <v>39.5</v>
      </c>
      <c r="AD167">
        <v>41.2</v>
      </c>
      <c r="AE167">
        <v>42.9</v>
      </c>
      <c r="AF167">
        <v>43.6</v>
      </c>
      <c r="AG167">
        <v>44.9</v>
      </c>
      <c r="AH167">
        <v>45.4</v>
      </c>
      <c r="AI167">
        <v>47.7</v>
      </c>
      <c r="AJ167">
        <v>49</v>
      </c>
      <c r="AK167">
        <v>50.3</v>
      </c>
      <c r="AL167">
        <v>52.2</v>
      </c>
    </row>
    <row r="168" spans="1:38" x14ac:dyDescent="0.3">
      <c r="A168" t="s">
        <v>49</v>
      </c>
      <c r="B168" t="s">
        <v>399</v>
      </c>
      <c r="C168" t="s">
        <v>519</v>
      </c>
      <c r="D168">
        <v>99.041564941406307</v>
      </c>
      <c r="E168">
        <v>99.0706787109375</v>
      </c>
      <c r="F168">
        <v>99.099678039550795</v>
      </c>
      <c r="G168">
        <v>99.128005981445298</v>
      </c>
      <c r="H168">
        <v>99.154968261718807</v>
      </c>
      <c r="I168">
        <v>99.179885864257798</v>
      </c>
      <c r="J168">
        <v>99.202095031738295</v>
      </c>
      <c r="K168">
        <v>99.220893859863295</v>
      </c>
      <c r="L168">
        <v>99.235618591308594</v>
      </c>
      <c r="M168">
        <v>99.245506286621094</v>
      </c>
      <c r="N168">
        <v>99</v>
      </c>
      <c r="O168">
        <v>99.2</v>
      </c>
      <c r="P168">
        <v>99.4</v>
      </c>
      <c r="Q168">
        <v>99.1</v>
      </c>
      <c r="R168">
        <v>99</v>
      </c>
      <c r="S168">
        <v>99</v>
      </c>
      <c r="T168">
        <v>99</v>
      </c>
      <c r="U168">
        <v>99</v>
      </c>
      <c r="V168">
        <v>99</v>
      </c>
      <c r="W168">
        <v>99</v>
      </c>
      <c r="X168">
        <v>99.4</v>
      </c>
      <c r="Y168">
        <v>99.6</v>
      </c>
      <c r="Z168">
        <v>99.4</v>
      </c>
      <c r="AA168">
        <v>99.4</v>
      </c>
      <c r="AB168">
        <v>99.5</v>
      </c>
      <c r="AC168">
        <v>99.6</v>
      </c>
      <c r="AD168">
        <v>99.7</v>
      </c>
      <c r="AE168">
        <v>99.6</v>
      </c>
      <c r="AF168">
        <v>99.8</v>
      </c>
      <c r="AG168">
        <v>100</v>
      </c>
      <c r="AH168">
        <v>99.5</v>
      </c>
      <c r="AI168">
        <v>99.6</v>
      </c>
      <c r="AJ168">
        <v>100</v>
      </c>
      <c r="AK168">
        <v>100</v>
      </c>
      <c r="AL168">
        <v>100</v>
      </c>
    </row>
    <row r="169" spans="1:38" x14ac:dyDescent="0.3">
      <c r="A169" t="s">
        <v>513</v>
      </c>
      <c r="B169" t="s">
        <v>223</v>
      </c>
      <c r="C169" t="s">
        <v>519</v>
      </c>
      <c r="F169">
        <v>3.2</v>
      </c>
      <c r="G169">
        <v>1.55355584621429</v>
      </c>
      <c r="H169">
        <v>2.01366138458252</v>
      </c>
      <c r="I169">
        <v>2.4717271327972399</v>
      </c>
      <c r="J169">
        <v>2.92707347869873</v>
      </c>
      <c r="K169">
        <v>3.3790202140808101</v>
      </c>
      <c r="L169">
        <v>3.8268876075744598</v>
      </c>
      <c r="M169">
        <v>4.2699127197265598</v>
      </c>
      <c r="N169">
        <v>4.8</v>
      </c>
      <c r="O169">
        <v>5.2</v>
      </c>
      <c r="P169">
        <v>5.6</v>
      </c>
      <c r="Q169">
        <v>6.2</v>
      </c>
      <c r="R169">
        <v>6.9</v>
      </c>
      <c r="S169">
        <v>6.6</v>
      </c>
      <c r="T169">
        <v>3.7</v>
      </c>
      <c r="U169">
        <v>7.4</v>
      </c>
      <c r="V169">
        <v>7.8</v>
      </c>
      <c r="W169">
        <v>8.3000000000000007</v>
      </c>
      <c r="X169">
        <v>8.6999999999999993</v>
      </c>
      <c r="Y169">
        <v>7.6</v>
      </c>
      <c r="Z169">
        <v>7.4</v>
      </c>
      <c r="AA169">
        <v>9</v>
      </c>
      <c r="AB169">
        <v>11.9</v>
      </c>
      <c r="AC169">
        <v>10.8</v>
      </c>
      <c r="AD169">
        <v>11</v>
      </c>
      <c r="AE169">
        <v>12.7</v>
      </c>
      <c r="AF169">
        <v>18</v>
      </c>
      <c r="AG169">
        <v>11.2</v>
      </c>
      <c r="AH169">
        <v>11.5</v>
      </c>
      <c r="AI169">
        <v>14.2</v>
      </c>
      <c r="AJ169">
        <v>14</v>
      </c>
      <c r="AK169">
        <v>15.6</v>
      </c>
      <c r="AL169">
        <v>15.6</v>
      </c>
    </row>
    <row r="170" spans="1:38" x14ac:dyDescent="0.3">
      <c r="A170" t="s">
        <v>421</v>
      </c>
      <c r="B170" t="s">
        <v>557</v>
      </c>
      <c r="C170" t="s">
        <v>519</v>
      </c>
      <c r="N170">
        <v>98.6</v>
      </c>
      <c r="O170">
        <v>98.6</v>
      </c>
      <c r="P170">
        <v>98.6</v>
      </c>
      <c r="Q170">
        <v>98.7</v>
      </c>
      <c r="R170">
        <v>98.7</v>
      </c>
      <c r="S170">
        <v>98.7</v>
      </c>
      <c r="T170">
        <v>98.8</v>
      </c>
      <c r="U170">
        <v>98.9</v>
      </c>
      <c r="V170">
        <v>99</v>
      </c>
      <c r="W170">
        <v>99.3</v>
      </c>
      <c r="X170">
        <v>99.5</v>
      </c>
      <c r="Y170">
        <v>99.5</v>
      </c>
      <c r="Z170">
        <v>99.8</v>
      </c>
      <c r="AA170">
        <v>99.6</v>
      </c>
      <c r="AB170">
        <v>99.7</v>
      </c>
      <c r="AC170">
        <v>99.9</v>
      </c>
      <c r="AD170">
        <v>99.9</v>
      </c>
      <c r="AE170">
        <v>100</v>
      </c>
      <c r="AF170">
        <v>100</v>
      </c>
      <c r="AG170">
        <v>100</v>
      </c>
      <c r="AH170">
        <v>100</v>
      </c>
      <c r="AI170">
        <v>100</v>
      </c>
      <c r="AJ170">
        <v>100</v>
      </c>
      <c r="AK170">
        <v>100</v>
      </c>
      <c r="AL170">
        <v>100</v>
      </c>
    </row>
    <row r="171" spans="1:38" x14ac:dyDescent="0.3">
      <c r="A171" t="s">
        <v>202</v>
      </c>
      <c r="B171" t="s">
        <v>629</v>
      </c>
      <c r="C171" t="s">
        <v>519</v>
      </c>
      <c r="D171">
        <v>100</v>
      </c>
      <c r="E171">
        <v>100</v>
      </c>
      <c r="F171">
        <v>100</v>
      </c>
      <c r="G171">
        <v>100</v>
      </c>
      <c r="H171">
        <v>100</v>
      </c>
      <c r="I171">
        <v>100</v>
      </c>
      <c r="J171">
        <v>100</v>
      </c>
      <c r="K171">
        <v>100</v>
      </c>
      <c r="L171">
        <v>100</v>
      </c>
      <c r="M171">
        <v>100</v>
      </c>
      <c r="N171">
        <v>100</v>
      </c>
      <c r="O171">
        <v>100</v>
      </c>
      <c r="P171">
        <v>100</v>
      </c>
      <c r="Q171">
        <v>100</v>
      </c>
      <c r="R171">
        <v>100</v>
      </c>
      <c r="S171">
        <v>100</v>
      </c>
      <c r="T171">
        <v>100</v>
      </c>
      <c r="U171">
        <v>100</v>
      </c>
      <c r="V171">
        <v>100</v>
      </c>
      <c r="W171">
        <v>100</v>
      </c>
      <c r="X171">
        <v>100</v>
      </c>
      <c r="Y171">
        <v>100</v>
      </c>
      <c r="Z171">
        <v>100</v>
      </c>
      <c r="AA171">
        <v>100</v>
      </c>
      <c r="AB171">
        <v>100</v>
      </c>
      <c r="AC171">
        <v>100</v>
      </c>
      <c r="AD171">
        <v>100</v>
      </c>
      <c r="AE171">
        <v>100</v>
      </c>
      <c r="AF171">
        <v>100</v>
      </c>
      <c r="AG171">
        <v>100</v>
      </c>
      <c r="AH171">
        <v>100</v>
      </c>
      <c r="AI171">
        <v>100</v>
      </c>
      <c r="AJ171">
        <v>100</v>
      </c>
      <c r="AK171">
        <v>100</v>
      </c>
      <c r="AL171">
        <v>100</v>
      </c>
    </row>
    <row r="172" spans="1:38" x14ac:dyDescent="0.3">
      <c r="A172" t="s">
        <v>141</v>
      </c>
      <c r="B172" t="s">
        <v>245</v>
      </c>
      <c r="C172" t="s">
        <v>519</v>
      </c>
      <c r="F172">
        <v>26.4</v>
      </c>
      <c r="G172">
        <v>27</v>
      </c>
      <c r="H172">
        <v>28.932588577270501</v>
      </c>
      <c r="I172">
        <v>29.9521484375</v>
      </c>
      <c r="J172">
        <v>30.968988418579102</v>
      </c>
      <c r="K172">
        <v>31.982429504394499</v>
      </c>
      <c r="L172">
        <v>32.991790771484403</v>
      </c>
      <c r="M172">
        <v>33.996311187744098</v>
      </c>
      <c r="N172">
        <v>36.5</v>
      </c>
      <c r="O172">
        <v>36</v>
      </c>
      <c r="P172">
        <v>36.9</v>
      </c>
      <c r="Q172">
        <v>37.799999999999997</v>
      </c>
      <c r="R172">
        <v>38.700000000000003</v>
      </c>
      <c r="S172">
        <v>39.6</v>
      </c>
      <c r="T172">
        <v>40.5</v>
      </c>
      <c r="U172">
        <v>43.7</v>
      </c>
      <c r="V172">
        <v>42.4</v>
      </c>
      <c r="W172">
        <v>44.1</v>
      </c>
      <c r="X172">
        <v>44.4</v>
      </c>
      <c r="Y172">
        <v>42.3</v>
      </c>
      <c r="Z172">
        <v>46.4</v>
      </c>
      <c r="AA172">
        <v>47.4</v>
      </c>
      <c r="AB172">
        <v>48.4</v>
      </c>
      <c r="AC172">
        <v>51.6</v>
      </c>
      <c r="AD172">
        <v>49.7</v>
      </c>
      <c r="AE172">
        <v>52.5</v>
      </c>
      <c r="AF172">
        <v>52.3</v>
      </c>
      <c r="AG172">
        <v>53.3</v>
      </c>
      <c r="AH172">
        <v>52.3</v>
      </c>
      <c r="AI172">
        <v>55.2</v>
      </c>
      <c r="AJ172">
        <v>56.2</v>
      </c>
      <c r="AK172">
        <v>56.7</v>
      </c>
      <c r="AL172">
        <v>59.3</v>
      </c>
    </row>
    <row r="173" spans="1:38" x14ac:dyDescent="0.3">
      <c r="A173" t="s">
        <v>688</v>
      </c>
      <c r="B173" t="s">
        <v>178</v>
      </c>
      <c r="C173" t="s">
        <v>519</v>
      </c>
      <c r="D173">
        <v>99.844306945800795</v>
      </c>
      <c r="E173">
        <v>99.875816345214801</v>
      </c>
      <c r="F173">
        <v>99.906867980957003</v>
      </c>
      <c r="G173">
        <v>99.937255859375</v>
      </c>
      <c r="H173">
        <v>99.965080261230497</v>
      </c>
      <c r="I173">
        <v>100</v>
      </c>
      <c r="J173">
        <v>100</v>
      </c>
      <c r="K173">
        <v>100</v>
      </c>
      <c r="L173">
        <v>100</v>
      </c>
      <c r="M173">
        <v>100</v>
      </c>
      <c r="N173">
        <v>100</v>
      </c>
      <c r="O173">
        <v>100</v>
      </c>
      <c r="P173">
        <v>100</v>
      </c>
      <c r="Q173">
        <v>100</v>
      </c>
      <c r="R173">
        <v>100</v>
      </c>
      <c r="S173">
        <v>100</v>
      </c>
      <c r="T173">
        <v>100</v>
      </c>
      <c r="U173">
        <v>100</v>
      </c>
      <c r="V173">
        <v>100</v>
      </c>
      <c r="W173">
        <v>100</v>
      </c>
      <c r="X173">
        <v>100</v>
      </c>
      <c r="Y173">
        <v>100</v>
      </c>
      <c r="Z173">
        <v>100</v>
      </c>
      <c r="AA173">
        <v>100</v>
      </c>
      <c r="AB173">
        <v>100</v>
      </c>
      <c r="AC173">
        <v>100</v>
      </c>
      <c r="AD173">
        <v>100</v>
      </c>
      <c r="AE173">
        <v>100</v>
      </c>
      <c r="AF173">
        <v>100</v>
      </c>
      <c r="AG173">
        <v>100</v>
      </c>
      <c r="AH173">
        <v>100</v>
      </c>
      <c r="AI173">
        <v>100</v>
      </c>
      <c r="AJ173">
        <v>100</v>
      </c>
      <c r="AK173">
        <v>100</v>
      </c>
      <c r="AL173">
        <v>100</v>
      </c>
    </row>
    <row r="174" spans="1:38" x14ac:dyDescent="0.3">
      <c r="A174" t="s">
        <v>165</v>
      </c>
      <c r="B174" t="s">
        <v>128</v>
      </c>
      <c r="C174" t="s">
        <v>519</v>
      </c>
      <c r="F174">
        <v>4.4000000000000004</v>
      </c>
      <c r="G174">
        <v>4.0121397972106898</v>
      </c>
      <c r="H174">
        <v>4.57177639007568</v>
      </c>
      <c r="I174">
        <v>6.2</v>
      </c>
      <c r="J174">
        <v>7</v>
      </c>
      <c r="K174">
        <v>6.2357277870178196</v>
      </c>
      <c r="L174">
        <v>6.7</v>
      </c>
      <c r="M174">
        <v>7.3256821632385298</v>
      </c>
      <c r="N174">
        <v>6.5</v>
      </c>
      <c r="O174">
        <v>8.4</v>
      </c>
      <c r="P174">
        <v>8.8000000000000007</v>
      </c>
      <c r="Q174">
        <v>9.3000000000000007</v>
      </c>
      <c r="R174">
        <v>9.6999999999999993</v>
      </c>
      <c r="S174">
        <v>7.1</v>
      </c>
      <c r="T174">
        <v>9.3000000000000007</v>
      </c>
      <c r="U174">
        <v>11.2</v>
      </c>
      <c r="V174">
        <v>11.8</v>
      </c>
      <c r="W174">
        <v>12.3</v>
      </c>
      <c r="X174">
        <v>13.6</v>
      </c>
      <c r="Y174">
        <v>14.3</v>
      </c>
      <c r="Z174">
        <v>14.4</v>
      </c>
      <c r="AA174">
        <v>15.2</v>
      </c>
      <c r="AB174">
        <v>15.7</v>
      </c>
      <c r="AC174">
        <v>16.600000000000001</v>
      </c>
      <c r="AD174">
        <v>17</v>
      </c>
      <c r="AE174">
        <v>17.600000000000001</v>
      </c>
      <c r="AF174">
        <v>17.600000000000001</v>
      </c>
      <c r="AG174">
        <v>18.5</v>
      </c>
      <c r="AH174">
        <v>18.7</v>
      </c>
      <c r="AI174">
        <v>18.600000000000001</v>
      </c>
      <c r="AJ174">
        <v>19.5</v>
      </c>
      <c r="AK174">
        <v>20.100000000000001</v>
      </c>
      <c r="AL174">
        <v>21.3</v>
      </c>
    </row>
    <row r="175" spans="1:38" x14ac:dyDescent="0.3">
      <c r="A175" t="s">
        <v>277</v>
      </c>
      <c r="B175" t="s">
        <v>649</v>
      </c>
      <c r="C175" t="s">
        <v>519</v>
      </c>
      <c r="D175">
        <v>27.3</v>
      </c>
      <c r="E175">
        <v>35.2346000671387</v>
      </c>
      <c r="F175">
        <v>36.099460601806598</v>
      </c>
      <c r="G175">
        <v>36.963645935058601</v>
      </c>
      <c r="H175">
        <v>37.826469421386697</v>
      </c>
      <c r="I175">
        <v>38.687252044677699</v>
      </c>
      <c r="J175">
        <v>39.545318603515597</v>
      </c>
      <c r="K175">
        <v>40.399982452392599</v>
      </c>
      <c r="L175">
        <v>41.250568389892599</v>
      </c>
      <c r="M175">
        <v>44.9</v>
      </c>
      <c r="N175">
        <v>43.2</v>
      </c>
      <c r="O175">
        <v>43.9</v>
      </c>
      <c r="P175">
        <v>44.6</v>
      </c>
      <c r="Q175">
        <v>52.2</v>
      </c>
      <c r="R175">
        <v>46.1</v>
      </c>
      <c r="S175">
        <v>46.8</v>
      </c>
      <c r="T175">
        <v>47.6</v>
      </c>
      <c r="U175">
        <v>50.1</v>
      </c>
      <c r="V175">
        <v>50.3</v>
      </c>
      <c r="W175">
        <v>50</v>
      </c>
      <c r="X175">
        <v>48</v>
      </c>
      <c r="Y175">
        <v>55.9</v>
      </c>
      <c r="Z175">
        <v>53</v>
      </c>
      <c r="AA175">
        <v>55.6</v>
      </c>
      <c r="AB175">
        <v>54.2</v>
      </c>
      <c r="AC175">
        <v>52.5</v>
      </c>
      <c r="AD175">
        <v>59.3</v>
      </c>
      <c r="AE175">
        <v>54.4</v>
      </c>
      <c r="AF175">
        <v>56.5</v>
      </c>
      <c r="AG175">
        <v>55.4</v>
      </c>
      <c r="AH175">
        <v>55.4</v>
      </c>
      <c r="AI175">
        <v>59.5</v>
      </c>
      <c r="AJ175">
        <v>60.5</v>
      </c>
      <c r="AK175">
        <v>61.2</v>
      </c>
      <c r="AL175">
        <v>62.5</v>
      </c>
    </row>
    <row r="176" spans="1:38" x14ac:dyDescent="0.3">
      <c r="A176" t="s">
        <v>571</v>
      </c>
      <c r="B176" t="s">
        <v>197</v>
      </c>
      <c r="C176" t="s">
        <v>519</v>
      </c>
      <c r="G176">
        <v>72.064173999999994</v>
      </c>
      <c r="H176">
        <v>69.253829956054702</v>
      </c>
      <c r="I176">
        <v>69.849906921386705</v>
      </c>
      <c r="J176">
        <v>70.443260192871094</v>
      </c>
      <c r="K176">
        <v>71.033210754394503</v>
      </c>
      <c r="L176">
        <v>69.047103000000007</v>
      </c>
      <c r="M176">
        <v>72.200126647949205</v>
      </c>
      <c r="N176">
        <v>73</v>
      </c>
      <c r="O176">
        <v>72.2</v>
      </c>
      <c r="P176">
        <v>74.099999999999994</v>
      </c>
      <c r="Q176">
        <v>74.599999999999994</v>
      </c>
      <c r="R176">
        <v>75.2</v>
      </c>
      <c r="S176">
        <v>73.8</v>
      </c>
      <c r="T176">
        <v>76.3</v>
      </c>
      <c r="U176">
        <v>76.900000000000006</v>
      </c>
      <c r="V176">
        <v>77.5</v>
      </c>
      <c r="W176">
        <v>77.900000000000006</v>
      </c>
      <c r="X176">
        <v>80.099999999999994</v>
      </c>
      <c r="Y176">
        <v>81.2</v>
      </c>
      <c r="Z176">
        <v>81.3</v>
      </c>
      <c r="AA176">
        <v>81.900000000000006</v>
      </c>
      <c r="AB176">
        <v>81.900000000000006</v>
      </c>
      <c r="AC176">
        <v>83.2</v>
      </c>
      <c r="AD176">
        <v>83.9</v>
      </c>
      <c r="AE176">
        <v>84.6</v>
      </c>
      <c r="AF176">
        <v>85.2</v>
      </c>
      <c r="AG176">
        <v>85.7</v>
      </c>
      <c r="AH176">
        <v>86</v>
      </c>
      <c r="AI176">
        <v>86.3</v>
      </c>
      <c r="AJ176">
        <v>86.5</v>
      </c>
      <c r="AK176">
        <v>88.3</v>
      </c>
      <c r="AL176">
        <v>88.7</v>
      </c>
    </row>
    <row r="177" spans="1:38" x14ac:dyDescent="0.3">
      <c r="A177" t="s">
        <v>14</v>
      </c>
      <c r="B177" t="s">
        <v>487</v>
      </c>
      <c r="C177" t="s">
        <v>519</v>
      </c>
      <c r="D177">
        <v>100</v>
      </c>
      <c r="E177">
        <v>100</v>
      </c>
      <c r="F177">
        <v>100</v>
      </c>
      <c r="G177">
        <v>100</v>
      </c>
      <c r="H177">
        <v>100</v>
      </c>
      <c r="I177">
        <v>100</v>
      </c>
      <c r="J177">
        <v>100</v>
      </c>
      <c r="K177">
        <v>100</v>
      </c>
      <c r="L177">
        <v>100</v>
      </c>
      <c r="M177">
        <v>100</v>
      </c>
      <c r="N177">
        <v>100</v>
      </c>
      <c r="O177">
        <v>100</v>
      </c>
      <c r="P177">
        <v>100</v>
      </c>
      <c r="Q177">
        <v>100</v>
      </c>
      <c r="R177">
        <v>100</v>
      </c>
      <c r="S177">
        <v>100</v>
      </c>
      <c r="T177">
        <v>100</v>
      </c>
      <c r="U177">
        <v>100</v>
      </c>
      <c r="V177">
        <v>100</v>
      </c>
      <c r="W177">
        <v>100</v>
      </c>
      <c r="X177">
        <v>100</v>
      </c>
      <c r="Y177">
        <v>100</v>
      </c>
      <c r="Z177">
        <v>100</v>
      </c>
      <c r="AA177">
        <v>100</v>
      </c>
      <c r="AB177">
        <v>100</v>
      </c>
      <c r="AC177">
        <v>100</v>
      </c>
      <c r="AD177">
        <v>100</v>
      </c>
      <c r="AE177">
        <v>100</v>
      </c>
      <c r="AF177">
        <v>100</v>
      </c>
      <c r="AG177">
        <v>100</v>
      </c>
      <c r="AH177">
        <v>100</v>
      </c>
      <c r="AI177">
        <v>100</v>
      </c>
      <c r="AJ177">
        <v>100</v>
      </c>
      <c r="AK177">
        <v>100</v>
      </c>
      <c r="AL177">
        <v>100</v>
      </c>
    </row>
    <row r="178" spans="1:38" x14ac:dyDescent="0.3">
      <c r="A178" t="s">
        <v>644</v>
      </c>
      <c r="B178" t="s">
        <v>566</v>
      </c>
      <c r="C178" t="s">
        <v>519</v>
      </c>
      <c r="D178">
        <v>100</v>
      </c>
      <c r="E178">
        <v>100</v>
      </c>
      <c r="F178">
        <v>100</v>
      </c>
      <c r="G178">
        <v>100</v>
      </c>
      <c r="H178">
        <v>100</v>
      </c>
      <c r="I178">
        <v>100</v>
      </c>
      <c r="J178">
        <v>100</v>
      </c>
      <c r="K178">
        <v>100</v>
      </c>
      <c r="L178">
        <v>100</v>
      </c>
      <c r="M178">
        <v>100</v>
      </c>
      <c r="N178">
        <v>100</v>
      </c>
      <c r="O178">
        <v>100</v>
      </c>
      <c r="P178">
        <v>100</v>
      </c>
      <c r="Q178">
        <v>100</v>
      </c>
      <c r="R178">
        <v>100</v>
      </c>
      <c r="S178">
        <v>100</v>
      </c>
      <c r="T178">
        <v>100</v>
      </c>
      <c r="U178">
        <v>100</v>
      </c>
      <c r="V178">
        <v>100</v>
      </c>
      <c r="W178">
        <v>100</v>
      </c>
      <c r="X178">
        <v>100</v>
      </c>
      <c r="Y178">
        <v>100</v>
      </c>
      <c r="Z178">
        <v>100</v>
      </c>
      <c r="AA178">
        <v>100</v>
      </c>
      <c r="AB178">
        <v>100</v>
      </c>
      <c r="AC178">
        <v>100</v>
      </c>
      <c r="AD178">
        <v>100</v>
      </c>
      <c r="AE178">
        <v>100</v>
      </c>
      <c r="AF178">
        <v>100</v>
      </c>
      <c r="AG178">
        <v>100</v>
      </c>
      <c r="AH178">
        <v>100</v>
      </c>
      <c r="AI178">
        <v>100</v>
      </c>
      <c r="AJ178">
        <v>100</v>
      </c>
      <c r="AK178">
        <v>100</v>
      </c>
      <c r="AL178">
        <v>100</v>
      </c>
    </row>
    <row r="179" spans="1:38" x14ac:dyDescent="0.3">
      <c r="A179" t="s">
        <v>193</v>
      </c>
      <c r="B179" t="s">
        <v>685</v>
      </c>
      <c r="C179" t="s">
        <v>519</v>
      </c>
      <c r="J179">
        <v>17.899999999999999</v>
      </c>
      <c r="K179">
        <v>18.132867813110401</v>
      </c>
      <c r="L179">
        <v>21.7325325012207</v>
      </c>
      <c r="M179">
        <v>25.327354431152301</v>
      </c>
      <c r="N179">
        <v>29.9</v>
      </c>
      <c r="O179">
        <v>24.6</v>
      </c>
      <c r="P179">
        <v>36.4</v>
      </c>
      <c r="Q179">
        <v>39.6</v>
      </c>
      <c r="R179">
        <v>37.200000000000003</v>
      </c>
      <c r="S179">
        <v>46.1</v>
      </c>
      <c r="T179">
        <v>51.2</v>
      </c>
      <c r="U179">
        <v>52.6</v>
      </c>
      <c r="V179">
        <v>56</v>
      </c>
      <c r="W179">
        <v>59.3</v>
      </c>
      <c r="X179">
        <v>68.599999999999994</v>
      </c>
      <c r="Y179">
        <v>67.3</v>
      </c>
      <c r="Z179">
        <v>75.2</v>
      </c>
      <c r="AA179">
        <v>77.400000000000006</v>
      </c>
      <c r="AB179">
        <v>84.9</v>
      </c>
      <c r="AC179">
        <v>82</v>
      </c>
      <c r="AD179">
        <v>90.7</v>
      </c>
      <c r="AE179">
        <v>86.6</v>
      </c>
      <c r="AF179">
        <v>93.9</v>
      </c>
      <c r="AG179">
        <v>89.9</v>
      </c>
      <c r="AH179">
        <v>89.9</v>
      </c>
      <c r="AI179">
        <v>89.9</v>
      </c>
      <c r="AJ179">
        <v>91.3</v>
      </c>
      <c r="AK179">
        <v>94</v>
      </c>
      <c r="AL179">
        <v>97.9</v>
      </c>
    </row>
    <row r="180" spans="1:38" x14ac:dyDescent="0.3">
      <c r="A180" t="s">
        <v>591</v>
      </c>
      <c r="B180" t="s">
        <v>246</v>
      </c>
      <c r="C180" t="s">
        <v>519</v>
      </c>
      <c r="D180">
        <v>98.999084472656307</v>
      </c>
      <c r="E180">
        <v>99.041305541992202</v>
      </c>
      <c r="F180">
        <v>99.083419799804702</v>
      </c>
      <c r="G180">
        <v>99.124855041503906</v>
      </c>
      <c r="H180">
        <v>99.164924621582003</v>
      </c>
      <c r="I180">
        <v>99.202957153320298</v>
      </c>
      <c r="J180">
        <v>99.238265991210895</v>
      </c>
      <c r="K180">
        <v>99.270179748535199</v>
      </c>
      <c r="L180">
        <v>99.298011779785199</v>
      </c>
      <c r="M180">
        <v>99.321006774902301</v>
      </c>
      <c r="N180">
        <v>99.1</v>
      </c>
      <c r="O180">
        <v>99</v>
      </c>
      <c r="P180">
        <v>99</v>
      </c>
      <c r="Q180">
        <v>99</v>
      </c>
      <c r="R180">
        <v>99</v>
      </c>
      <c r="S180">
        <v>99</v>
      </c>
      <c r="T180">
        <v>99</v>
      </c>
      <c r="U180">
        <v>99.8</v>
      </c>
      <c r="V180">
        <v>99.1</v>
      </c>
      <c r="W180">
        <v>99.1</v>
      </c>
      <c r="X180">
        <v>99.2</v>
      </c>
      <c r="Y180">
        <v>99</v>
      </c>
      <c r="Z180">
        <v>99.4</v>
      </c>
      <c r="AA180">
        <v>99.4</v>
      </c>
      <c r="AB180">
        <v>99.5</v>
      </c>
      <c r="AC180">
        <v>99</v>
      </c>
      <c r="AD180">
        <v>99.7</v>
      </c>
      <c r="AE180">
        <v>99.8</v>
      </c>
      <c r="AF180">
        <v>99.9</v>
      </c>
      <c r="AG180">
        <v>100</v>
      </c>
      <c r="AH180">
        <v>100</v>
      </c>
      <c r="AI180">
        <v>100</v>
      </c>
      <c r="AJ180">
        <v>100</v>
      </c>
      <c r="AK180">
        <v>100</v>
      </c>
      <c r="AL180">
        <v>100</v>
      </c>
    </row>
    <row r="181" spans="1:38" x14ac:dyDescent="0.3">
      <c r="A181" t="s">
        <v>530</v>
      </c>
      <c r="B181" t="s">
        <v>268</v>
      </c>
      <c r="C181" t="s">
        <v>519</v>
      </c>
      <c r="D181">
        <v>100</v>
      </c>
      <c r="E181">
        <v>100</v>
      </c>
      <c r="F181">
        <v>100</v>
      </c>
      <c r="G181">
        <v>100</v>
      </c>
      <c r="H181">
        <v>100</v>
      </c>
      <c r="I181">
        <v>100</v>
      </c>
      <c r="J181">
        <v>100</v>
      </c>
      <c r="K181">
        <v>100</v>
      </c>
      <c r="L181">
        <v>100</v>
      </c>
      <c r="M181">
        <v>100</v>
      </c>
      <c r="N181">
        <v>100</v>
      </c>
      <c r="O181">
        <v>100</v>
      </c>
      <c r="P181">
        <v>100</v>
      </c>
      <c r="Q181">
        <v>100</v>
      </c>
      <c r="R181">
        <v>100</v>
      </c>
      <c r="S181">
        <v>100</v>
      </c>
      <c r="T181">
        <v>100</v>
      </c>
      <c r="U181">
        <v>100</v>
      </c>
      <c r="V181">
        <v>100</v>
      </c>
      <c r="W181">
        <v>100</v>
      </c>
      <c r="X181">
        <v>100</v>
      </c>
      <c r="Y181">
        <v>100</v>
      </c>
      <c r="Z181">
        <v>100</v>
      </c>
      <c r="AA181">
        <v>100</v>
      </c>
      <c r="AB181">
        <v>100</v>
      </c>
      <c r="AC181">
        <v>100</v>
      </c>
      <c r="AD181">
        <v>100</v>
      </c>
      <c r="AE181">
        <v>100</v>
      </c>
      <c r="AF181">
        <v>100</v>
      </c>
      <c r="AG181">
        <v>100</v>
      </c>
      <c r="AH181">
        <v>100</v>
      </c>
      <c r="AI181">
        <v>100</v>
      </c>
      <c r="AJ181">
        <v>100</v>
      </c>
      <c r="AK181">
        <v>100</v>
      </c>
      <c r="AL181">
        <v>100</v>
      </c>
    </row>
    <row r="182" spans="1:38" x14ac:dyDescent="0.3">
      <c r="A182" t="s">
        <v>318</v>
      </c>
      <c r="B182" t="s">
        <v>620</v>
      </c>
      <c r="C182" t="s">
        <v>519</v>
      </c>
      <c r="D182">
        <v>99.547801327020636</v>
      </c>
      <c r="E182">
        <v>99.645428388724511</v>
      </c>
      <c r="F182">
        <v>99.12582123223757</v>
      </c>
      <c r="G182">
        <v>99.324175746865976</v>
      </c>
      <c r="H182">
        <v>99.313242069654208</v>
      </c>
      <c r="I182">
        <v>99.314399110461324</v>
      </c>
      <c r="J182">
        <v>99.391857598382586</v>
      </c>
      <c r="K182">
        <v>99.423877241625433</v>
      </c>
      <c r="L182">
        <v>99.421150146142793</v>
      </c>
      <c r="M182">
        <v>99.474356572682993</v>
      </c>
      <c r="N182">
        <v>99.635529128515927</v>
      </c>
      <c r="O182">
        <v>99.660522586906424</v>
      </c>
      <c r="P182">
        <v>99.603495589927434</v>
      </c>
      <c r="Q182">
        <v>99.582720840845795</v>
      </c>
      <c r="R182">
        <v>99.666228773057043</v>
      </c>
      <c r="S182">
        <v>99.739073442757288</v>
      </c>
      <c r="T182">
        <v>99.739652681262271</v>
      </c>
      <c r="U182">
        <v>99.628785527607278</v>
      </c>
      <c r="V182">
        <v>99.74396479237258</v>
      </c>
      <c r="W182">
        <v>99.691772758599342</v>
      </c>
      <c r="X182">
        <v>99.807626214708179</v>
      </c>
      <c r="Y182">
        <v>99.787211688209339</v>
      </c>
      <c r="Z182">
        <v>99.812946774954852</v>
      </c>
      <c r="AA182">
        <v>99.83503154096401</v>
      </c>
      <c r="AB182">
        <v>99.848025766219692</v>
      </c>
      <c r="AC182">
        <v>99.83935762307182</v>
      </c>
      <c r="AD182">
        <v>99.895936929042151</v>
      </c>
      <c r="AE182">
        <v>99.940858946357636</v>
      </c>
      <c r="AF182">
        <v>99.898753024870928</v>
      </c>
      <c r="AG182">
        <v>99.940072384950952</v>
      </c>
      <c r="AH182">
        <v>99.932979316022113</v>
      </c>
      <c r="AI182">
        <v>100</v>
      </c>
      <c r="AJ182">
        <v>100</v>
      </c>
      <c r="AK182">
        <v>99.922945762565959</v>
      </c>
      <c r="AL182">
        <v>99.924730856656311</v>
      </c>
    </row>
    <row r="183" spans="1:38" x14ac:dyDescent="0.3">
      <c r="A183" t="s">
        <v>661</v>
      </c>
      <c r="B183" t="s">
        <v>536</v>
      </c>
      <c r="C183" t="s">
        <v>519</v>
      </c>
      <c r="D183">
        <v>100</v>
      </c>
      <c r="E183">
        <v>100</v>
      </c>
      <c r="F183">
        <v>100</v>
      </c>
      <c r="G183">
        <v>100</v>
      </c>
      <c r="H183">
        <v>100</v>
      </c>
      <c r="I183">
        <v>100</v>
      </c>
      <c r="J183">
        <v>100</v>
      </c>
      <c r="K183">
        <v>100</v>
      </c>
      <c r="L183">
        <v>100</v>
      </c>
      <c r="M183">
        <v>100</v>
      </c>
      <c r="N183">
        <v>100</v>
      </c>
      <c r="O183">
        <v>100</v>
      </c>
      <c r="P183">
        <v>100</v>
      </c>
      <c r="Q183">
        <v>100</v>
      </c>
      <c r="R183">
        <v>100</v>
      </c>
      <c r="S183">
        <v>99.9</v>
      </c>
      <c r="T183">
        <v>99.9</v>
      </c>
      <c r="U183">
        <v>100</v>
      </c>
      <c r="V183">
        <v>100</v>
      </c>
      <c r="W183">
        <v>100</v>
      </c>
      <c r="X183">
        <v>100</v>
      </c>
      <c r="Y183">
        <v>100</v>
      </c>
      <c r="Z183">
        <v>100</v>
      </c>
      <c r="AA183">
        <v>100</v>
      </c>
      <c r="AB183">
        <v>100</v>
      </c>
      <c r="AC183">
        <v>100</v>
      </c>
      <c r="AD183">
        <v>100</v>
      </c>
      <c r="AE183">
        <v>100</v>
      </c>
      <c r="AF183">
        <v>100</v>
      </c>
      <c r="AG183">
        <v>100</v>
      </c>
      <c r="AH183">
        <v>100</v>
      </c>
      <c r="AI183">
        <v>100</v>
      </c>
      <c r="AJ183">
        <v>100</v>
      </c>
      <c r="AK183">
        <v>100</v>
      </c>
      <c r="AL183">
        <v>100</v>
      </c>
    </row>
    <row r="184" spans="1:38" x14ac:dyDescent="0.3">
      <c r="A184" t="s">
        <v>659</v>
      </c>
      <c r="B184" t="s">
        <v>391</v>
      </c>
      <c r="C184" t="s">
        <v>519</v>
      </c>
      <c r="N184">
        <v>71.11329567180529</v>
      </c>
      <c r="O184">
        <v>72.865537636777887</v>
      </c>
      <c r="P184">
        <v>72.125944862212748</v>
      </c>
      <c r="Q184">
        <v>73.169537011187529</v>
      </c>
      <c r="R184">
        <v>74.526041602887418</v>
      </c>
      <c r="S184">
        <v>75.798475683416669</v>
      </c>
      <c r="T184">
        <v>76.182709837386781</v>
      </c>
      <c r="U184">
        <v>77.6573850936105</v>
      </c>
      <c r="V184">
        <v>78.466264103385555</v>
      </c>
      <c r="W184">
        <v>78.921219862438619</v>
      </c>
      <c r="X184">
        <v>79.843277855698275</v>
      </c>
      <c r="Y184">
        <v>82.376316904345487</v>
      </c>
      <c r="Z184">
        <v>83.215966304491715</v>
      </c>
      <c r="AA184">
        <v>84.068745779586237</v>
      </c>
      <c r="AB184">
        <v>85.543691964593819</v>
      </c>
      <c r="AC184">
        <v>86.452033048186891</v>
      </c>
      <c r="AD184">
        <v>87.854404131044433</v>
      </c>
      <c r="AE184">
        <v>89.328002687714871</v>
      </c>
      <c r="AF184">
        <v>90.472453074168044</v>
      </c>
      <c r="AG184">
        <v>91.803551313326182</v>
      </c>
      <c r="AH184">
        <v>92.838498500442881</v>
      </c>
      <c r="AI184">
        <v>93.856072821247253</v>
      </c>
      <c r="AJ184">
        <v>93.960531781820706</v>
      </c>
      <c r="AK184">
        <v>94.495469217526505</v>
      </c>
      <c r="AL184">
        <v>94.54342687117834</v>
      </c>
    </row>
    <row r="185" spans="1:38" x14ac:dyDescent="0.3">
      <c r="A185" t="s">
        <v>702</v>
      </c>
      <c r="B185" t="s">
        <v>123</v>
      </c>
      <c r="C185" t="s">
        <v>519</v>
      </c>
      <c r="L185">
        <v>70.459999999999994</v>
      </c>
      <c r="M185">
        <v>70.265350341796903</v>
      </c>
      <c r="N185">
        <v>72.8</v>
      </c>
      <c r="O185">
        <v>73.900000000000006</v>
      </c>
      <c r="P185">
        <v>74.900000000000006</v>
      </c>
      <c r="Q185">
        <v>76</v>
      </c>
      <c r="R185">
        <v>77</v>
      </c>
      <c r="S185">
        <v>78.099999999999994</v>
      </c>
      <c r="T185">
        <v>79.099999999999994</v>
      </c>
      <c r="U185">
        <v>80.2</v>
      </c>
      <c r="V185">
        <v>81.400000000000006</v>
      </c>
      <c r="W185">
        <v>82.5</v>
      </c>
      <c r="X185">
        <v>87.1</v>
      </c>
      <c r="Y185">
        <v>87.8</v>
      </c>
      <c r="Z185">
        <v>88.6</v>
      </c>
      <c r="AA185">
        <v>89.3</v>
      </c>
      <c r="AB185">
        <v>90.1</v>
      </c>
      <c r="AC185">
        <v>91</v>
      </c>
      <c r="AD185">
        <v>91.8</v>
      </c>
      <c r="AE185">
        <v>92.7</v>
      </c>
      <c r="AF185">
        <v>93.4</v>
      </c>
      <c r="AG185">
        <v>93.9</v>
      </c>
      <c r="AH185">
        <v>94.5</v>
      </c>
      <c r="AI185">
        <v>94.9</v>
      </c>
      <c r="AJ185">
        <v>95</v>
      </c>
      <c r="AK185">
        <v>95.6</v>
      </c>
      <c r="AL185">
        <v>95.7</v>
      </c>
    </row>
    <row r="186" spans="1:38" x14ac:dyDescent="0.3">
      <c r="A186" t="s">
        <v>511</v>
      </c>
      <c r="B186" t="s">
        <v>434</v>
      </c>
      <c r="C186" t="s">
        <v>519</v>
      </c>
      <c r="D186">
        <v>70.19</v>
      </c>
      <c r="E186">
        <v>73.443130493164105</v>
      </c>
      <c r="F186">
        <v>74.255638122558594</v>
      </c>
      <c r="G186">
        <v>75.067459106445298</v>
      </c>
      <c r="H186">
        <v>75.877922058105497</v>
      </c>
      <c r="I186">
        <v>76.686340332031307</v>
      </c>
      <c r="J186">
        <v>77.492042541503906</v>
      </c>
      <c r="K186">
        <v>78.294349670410199</v>
      </c>
      <c r="L186">
        <v>79.092575073242202</v>
      </c>
      <c r="M186">
        <v>79.885955810546903</v>
      </c>
      <c r="N186">
        <v>81.400000000000006</v>
      </c>
      <c r="O186">
        <v>81.5</v>
      </c>
      <c r="P186">
        <v>82.1</v>
      </c>
      <c r="Q186">
        <v>87.8</v>
      </c>
      <c r="R186">
        <v>83.4</v>
      </c>
      <c r="S186">
        <v>84.1</v>
      </c>
      <c r="T186">
        <v>84.8</v>
      </c>
      <c r="U186">
        <v>85.5</v>
      </c>
      <c r="V186">
        <v>86.3</v>
      </c>
      <c r="W186">
        <v>87</v>
      </c>
      <c r="X186">
        <v>86.8</v>
      </c>
      <c r="Y186">
        <v>88.6</v>
      </c>
      <c r="Z186">
        <v>89.3</v>
      </c>
      <c r="AA186">
        <v>89.1</v>
      </c>
      <c r="AB186">
        <v>90.8</v>
      </c>
      <c r="AC186">
        <v>91.6</v>
      </c>
      <c r="AD186">
        <v>92.4</v>
      </c>
      <c r="AE186">
        <v>93.7</v>
      </c>
      <c r="AF186">
        <v>93.8</v>
      </c>
      <c r="AG186">
        <v>93.9</v>
      </c>
      <c r="AH186">
        <v>95.3</v>
      </c>
      <c r="AI186">
        <v>95.3</v>
      </c>
      <c r="AJ186">
        <v>95</v>
      </c>
      <c r="AK186">
        <v>97</v>
      </c>
      <c r="AL186">
        <v>96</v>
      </c>
    </row>
    <row r="187" spans="1:38" x14ac:dyDescent="0.3">
      <c r="A187" t="s">
        <v>465</v>
      </c>
      <c r="B187" t="s">
        <v>269</v>
      </c>
      <c r="C187" t="s">
        <v>519</v>
      </c>
      <c r="F187">
        <v>70.099999999999994</v>
      </c>
      <c r="G187">
        <v>64.748992919921903</v>
      </c>
      <c r="H187">
        <v>66.052932739257798</v>
      </c>
      <c r="I187">
        <v>67.354835510253906</v>
      </c>
      <c r="J187">
        <v>67</v>
      </c>
      <c r="K187">
        <v>69.160240000000002</v>
      </c>
      <c r="L187">
        <v>72.072063</v>
      </c>
      <c r="M187">
        <v>74.078523000000004</v>
      </c>
      <c r="N187">
        <v>72.5</v>
      </c>
      <c r="O187">
        <v>72.099999999999994</v>
      </c>
      <c r="P187">
        <v>74.400000000000006</v>
      </c>
      <c r="Q187">
        <v>74.400000000000006</v>
      </c>
      <c r="R187">
        <v>75.7</v>
      </c>
      <c r="S187">
        <v>77.2</v>
      </c>
      <c r="T187">
        <v>80.2</v>
      </c>
      <c r="U187">
        <v>82</v>
      </c>
      <c r="V187">
        <v>84.7</v>
      </c>
      <c r="W187">
        <v>86.4</v>
      </c>
      <c r="X187">
        <v>88.1</v>
      </c>
      <c r="Y187">
        <v>89.7</v>
      </c>
      <c r="Z187">
        <v>91.1</v>
      </c>
      <c r="AA187">
        <v>92.1</v>
      </c>
      <c r="AB187">
        <v>92.9</v>
      </c>
      <c r="AC187">
        <v>93.9</v>
      </c>
      <c r="AD187">
        <v>94.2</v>
      </c>
      <c r="AE187">
        <v>94.8</v>
      </c>
      <c r="AF187">
        <v>95.2</v>
      </c>
      <c r="AG187">
        <v>95.6</v>
      </c>
      <c r="AH187">
        <v>96.2</v>
      </c>
      <c r="AI187">
        <v>95.6</v>
      </c>
      <c r="AJ187">
        <v>96.2</v>
      </c>
      <c r="AK187">
        <v>96.2</v>
      </c>
      <c r="AL187">
        <v>96.5</v>
      </c>
    </row>
    <row r="188" spans="1:38" x14ac:dyDescent="0.3">
      <c r="A188" t="s">
        <v>258</v>
      </c>
      <c r="B188" t="s">
        <v>549</v>
      </c>
      <c r="C188" t="s">
        <v>519</v>
      </c>
      <c r="G188">
        <v>65.400000000000006</v>
      </c>
      <c r="H188">
        <v>68.0185546875</v>
      </c>
      <c r="I188">
        <v>69.133117675781307</v>
      </c>
      <c r="J188">
        <v>70.244956970214801</v>
      </c>
      <c r="K188">
        <v>71.3533935546875</v>
      </c>
      <c r="L188">
        <v>71.3</v>
      </c>
      <c r="M188">
        <v>71.874170927516701</v>
      </c>
      <c r="N188">
        <v>74.7</v>
      </c>
      <c r="O188">
        <v>75.7</v>
      </c>
      <c r="P188">
        <v>76.7</v>
      </c>
      <c r="Q188">
        <v>76.599999999999994</v>
      </c>
      <c r="R188">
        <v>87.6</v>
      </c>
      <c r="S188">
        <v>79.8</v>
      </c>
      <c r="T188">
        <v>80.2</v>
      </c>
      <c r="U188">
        <v>82</v>
      </c>
      <c r="V188">
        <v>83.3</v>
      </c>
      <c r="W188">
        <v>84.3</v>
      </c>
      <c r="X188">
        <v>85.5</v>
      </c>
      <c r="Y188">
        <v>87.2</v>
      </c>
      <c r="Z188">
        <v>87.1</v>
      </c>
      <c r="AA188">
        <v>87.5</v>
      </c>
      <c r="AB188">
        <v>89.8</v>
      </c>
      <c r="AC188">
        <v>89.1</v>
      </c>
      <c r="AD188">
        <v>92</v>
      </c>
      <c r="AE188">
        <v>93</v>
      </c>
      <c r="AF188">
        <v>94.2</v>
      </c>
      <c r="AG188">
        <v>95.3</v>
      </c>
      <c r="AH188">
        <v>96.4</v>
      </c>
      <c r="AI188">
        <v>97.5</v>
      </c>
      <c r="AJ188">
        <v>94.8</v>
      </c>
      <c r="AK188">
        <v>98</v>
      </c>
      <c r="AL188">
        <v>94.8</v>
      </c>
    </row>
    <row r="189" spans="1:38" x14ac:dyDescent="0.3">
      <c r="A189" t="s">
        <v>643</v>
      </c>
      <c r="B189" t="s">
        <v>356</v>
      </c>
      <c r="C189" t="s">
        <v>519</v>
      </c>
      <c r="D189">
        <v>96.625350952148395</v>
      </c>
      <c r="E189">
        <v>96.762702941894503</v>
      </c>
      <c r="F189">
        <v>96.899932861328097</v>
      </c>
      <c r="G189">
        <v>97.036491394042997</v>
      </c>
      <c r="H189">
        <v>97.171684265136705</v>
      </c>
      <c r="I189">
        <v>97.304840087890597</v>
      </c>
      <c r="J189">
        <v>97.435272216796903</v>
      </c>
      <c r="K189">
        <v>97.562309265136705</v>
      </c>
      <c r="L189">
        <v>97.685264587402301</v>
      </c>
      <c r="M189">
        <v>97.803375244140597</v>
      </c>
      <c r="N189">
        <v>97.9</v>
      </c>
      <c r="O189">
        <v>98</v>
      </c>
      <c r="P189">
        <v>98</v>
      </c>
      <c r="Q189">
        <v>98.1</v>
      </c>
      <c r="R189">
        <v>98.1</v>
      </c>
      <c r="S189">
        <v>98.9</v>
      </c>
      <c r="T189">
        <v>98.3</v>
      </c>
      <c r="U189">
        <v>98.4</v>
      </c>
      <c r="V189">
        <v>98.5</v>
      </c>
      <c r="W189">
        <v>98.6</v>
      </c>
      <c r="X189">
        <v>98.8</v>
      </c>
      <c r="Y189">
        <v>98.9</v>
      </c>
      <c r="Z189">
        <v>97.6</v>
      </c>
      <c r="AA189">
        <v>99.2</v>
      </c>
      <c r="AB189">
        <v>99.8</v>
      </c>
      <c r="AC189">
        <v>99.5</v>
      </c>
      <c r="AD189">
        <v>100</v>
      </c>
      <c r="AE189">
        <v>100</v>
      </c>
      <c r="AF189">
        <v>100</v>
      </c>
      <c r="AG189">
        <v>100</v>
      </c>
      <c r="AH189">
        <v>100</v>
      </c>
      <c r="AI189">
        <v>100</v>
      </c>
      <c r="AJ189">
        <v>100</v>
      </c>
      <c r="AK189">
        <v>100</v>
      </c>
      <c r="AL189">
        <v>100</v>
      </c>
    </row>
    <row r="190" spans="1:38" x14ac:dyDescent="0.3">
      <c r="A190" t="s">
        <v>423</v>
      </c>
      <c r="B190" t="s">
        <v>237</v>
      </c>
      <c r="C190" t="s">
        <v>519</v>
      </c>
      <c r="J190">
        <v>11</v>
      </c>
      <c r="K190">
        <v>2.1584825515747101</v>
      </c>
      <c r="L190">
        <v>4.2950897216796902</v>
      </c>
      <c r="M190">
        <v>6.4268550872802699</v>
      </c>
      <c r="N190">
        <v>12.4</v>
      </c>
      <c r="O190">
        <v>12.7</v>
      </c>
      <c r="P190">
        <v>13.1</v>
      </c>
      <c r="Q190">
        <v>13.4</v>
      </c>
      <c r="R190">
        <v>13.8</v>
      </c>
      <c r="S190">
        <v>14.1</v>
      </c>
      <c r="T190">
        <v>12.4</v>
      </c>
      <c r="U190">
        <v>14.9</v>
      </c>
      <c r="V190">
        <v>15.3</v>
      </c>
      <c r="W190">
        <v>17.2</v>
      </c>
      <c r="X190">
        <v>19.5</v>
      </c>
      <c r="Y190">
        <v>17.3</v>
      </c>
      <c r="Z190">
        <v>17.5</v>
      </c>
      <c r="AA190">
        <v>17.8</v>
      </c>
      <c r="AB190">
        <v>18.100000000000001</v>
      </c>
      <c r="AC190">
        <v>18.399999999999999</v>
      </c>
      <c r="AD190">
        <v>13.5</v>
      </c>
      <c r="AE190">
        <v>19.2</v>
      </c>
      <c r="AF190">
        <v>16.600000000000001</v>
      </c>
      <c r="AG190">
        <v>23.6</v>
      </c>
      <c r="AH190">
        <v>20.5</v>
      </c>
      <c r="AI190">
        <v>20.9</v>
      </c>
      <c r="AJ190">
        <v>19</v>
      </c>
      <c r="AK190">
        <v>20.5</v>
      </c>
      <c r="AL190">
        <v>43.3</v>
      </c>
    </row>
    <row r="191" spans="1:38" x14ac:dyDescent="0.3">
      <c r="A191" t="s">
        <v>68</v>
      </c>
      <c r="B191" t="s">
        <v>41</v>
      </c>
      <c r="C191" t="s">
        <v>519</v>
      </c>
      <c r="D191">
        <v>100</v>
      </c>
      <c r="E191">
        <v>100</v>
      </c>
      <c r="F191">
        <v>100</v>
      </c>
      <c r="G191">
        <v>100</v>
      </c>
      <c r="H191">
        <v>100</v>
      </c>
      <c r="I191">
        <v>100</v>
      </c>
      <c r="J191">
        <v>100</v>
      </c>
      <c r="K191">
        <v>100</v>
      </c>
      <c r="L191">
        <v>100</v>
      </c>
      <c r="M191">
        <v>100</v>
      </c>
      <c r="N191">
        <v>100</v>
      </c>
      <c r="O191">
        <v>100</v>
      </c>
      <c r="P191">
        <v>100</v>
      </c>
      <c r="Q191">
        <v>99.9</v>
      </c>
      <c r="R191">
        <v>99.9</v>
      </c>
      <c r="S191">
        <v>99.8</v>
      </c>
      <c r="T191">
        <v>99.8</v>
      </c>
      <c r="U191">
        <v>99.8</v>
      </c>
      <c r="V191">
        <v>99.8</v>
      </c>
      <c r="W191">
        <v>100</v>
      </c>
      <c r="X191">
        <v>100</v>
      </c>
      <c r="Y191">
        <v>100</v>
      </c>
      <c r="Z191">
        <v>100</v>
      </c>
      <c r="AA191">
        <v>100</v>
      </c>
      <c r="AB191">
        <v>100</v>
      </c>
      <c r="AC191">
        <v>100</v>
      </c>
      <c r="AD191">
        <v>100</v>
      </c>
      <c r="AE191">
        <v>100</v>
      </c>
      <c r="AF191">
        <v>100</v>
      </c>
      <c r="AG191">
        <v>100</v>
      </c>
      <c r="AH191">
        <v>100</v>
      </c>
      <c r="AI191">
        <v>100</v>
      </c>
      <c r="AJ191">
        <v>100</v>
      </c>
      <c r="AK191">
        <v>100</v>
      </c>
      <c r="AL191">
        <v>100</v>
      </c>
    </row>
    <row r="192" spans="1:38" x14ac:dyDescent="0.3">
      <c r="A192" t="s">
        <v>213</v>
      </c>
      <c r="B192" t="s">
        <v>267</v>
      </c>
      <c r="C192" t="s">
        <v>519</v>
      </c>
      <c r="K192">
        <v>23.08581438622403</v>
      </c>
      <c r="L192">
        <v>23.778039801850092</v>
      </c>
      <c r="M192">
        <v>25.034237192020715</v>
      </c>
      <c r="N192">
        <v>24.877364884215915</v>
      </c>
      <c r="O192">
        <v>26.189320857993284</v>
      </c>
      <c r="P192">
        <v>27.015643060389849</v>
      </c>
      <c r="Q192">
        <v>29.507404987349542</v>
      </c>
      <c r="R192">
        <v>29.017191481859651</v>
      </c>
      <c r="S192">
        <v>29.755143682678938</v>
      </c>
      <c r="T192">
        <v>31.022081245043879</v>
      </c>
      <c r="U192">
        <v>32.354701210670413</v>
      </c>
      <c r="V192">
        <v>32.15856180771322</v>
      </c>
      <c r="W192">
        <v>32.238718870675271</v>
      </c>
      <c r="X192">
        <v>32.72064264898561</v>
      </c>
      <c r="Y192">
        <v>36.12121917049766</v>
      </c>
      <c r="Z192">
        <v>37.500705214814545</v>
      </c>
      <c r="AA192">
        <v>38.409591246267844</v>
      </c>
      <c r="AB192">
        <v>39.890369475113509</v>
      </c>
      <c r="AC192">
        <v>40.116553542693026</v>
      </c>
      <c r="AD192">
        <v>44.670306099012777</v>
      </c>
      <c r="AE192">
        <v>44.355879554030949</v>
      </c>
      <c r="AF192">
        <v>47.103086732464106</v>
      </c>
      <c r="AG192">
        <v>47.584902810859738</v>
      </c>
      <c r="AH192">
        <v>48.381527892371871</v>
      </c>
      <c r="AI192">
        <v>50.512349109724241</v>
      </c>
      <c r="AJ192">
        <v>51.097614909466188</v>
      </c>
      <c r="AK192">
        <v>52.524298607952403</v>
      </c>
      <c r="AL192">
        <v>54.321949964551983</v>
      </c>
    </row>
    <row r="193" spans="1:38" x14ac:dyDescent="0.3">
      <c r="A193" t="s">
        <v>244</v>
      </c>
      <c r="B193" t="s">
        <v>650</v>
      </c>
      <c r="C193" t="s">
        <v>519</v>
      </c>
      <c r="D193">
        <v>99.983428955078097</v>
      </c>
      <c r="E193">
        <v>99.993095397949205</v>
      </c>
      <c r="F193">
        <v>99.998619079589801</v>
      </c>
      <c r="G193">
        <v>100</v>
      </c>
      <c r="H193">
        <v>100</v>
      </c>
      <c r="I193">
        <v>100</v>
      </c>
      <c r="J193">
        <v>100</v>
      </c>
      <c r="K193">
        <v>100</v>
      </c>
      <c r="L193">
        <v>100</v>
      </c>
      <c r="M193">
        <v>100</v>
      </c>
      <c r="N193">
        <v>100</v>
      </c>
      <c r="O193">
        <v>100</v>
      </c>
      <c r="P193">
        <v>100</v>
      </c>
      <c r="Q193">
        <v>100</v>
      </c>
      <c r="R193">
        <v>100</v>
      </c>
      <c r="S193">
        <v>100</v>
      </c>
      <c r="T193">
        <v>100</v>
      </c>
      <c r="U193">
        <v>100</v>
      </c>
      <c r="V193">
        <v>100</v>
      </c>
      <c r="W193">
        <v>100</v>
      </c>
      <c r="X193">
        <v>100</v>
      </c>
      <c r="Y193">
        <v>100</v>
      </c>
      <c r="Z193">
        <v>100</v>
      </c>
      <c r="AA193">
        <v>100</v>
      </c>
      <c r="AB193">
        <v>100</v>
      </c>
      <c r="AC193">
        <v>100</v>
      </c>
      <c r="AD193">
        <v>100</v>
      </c>
      <c r="AE193">
        <v>100</v>
      </c>
      <c r="AF193">
        <v>100</v>
      </c>
      <c r="AG193">
        <v>100</v>
      </c>
      <c r="AH193">
        <v>100</v>
      </c>
      <c r="AI193">
        <v>100</v>
      </c>
      <c r="AJ193">
        <v>100</v>
      </c>
      <c r="AK193">
        <v>100</v>
      </c>
      <c r="AL193">
        <v>100</v>
      </c>
    </row>
    <row r="194" spans="1:38" x14ac:dyDescent="0.3">
      <c r="A194" t="s">
        <v>495</v>
      </c>
      <c r="B194" t="s">
        <v>56</v>
      </c>
      <c r="C194" t="s">
        <v>519</v>
      </c>
      <c r="W194">
        <v>26</v>
      </c>
      <c r="X194">
        <v>29.3</v>
      </c>
      <c r="Y194">
        <v>31.4</v>
      </c>
      <c r="Z194">
        <v>33.6</v>
      </c>
      <c r="AA194">
        <v>35.700000000000003</v>
      </c>
      <c r="AB194">
        <v>37.799999999999997</v>
      </c>
      <c r="AC194">
        <v>40</v>
      </c>
      <c r="AD194">
        <v>42.1</v>
      </c>
      <c r="AE194">
        <v>44.2</v>
      </c>
      <c r="AF194">
        <v>46.3</v>
      </c>
      <c r="AG194">
        <v>48.4</v>
      </c>
      <c r="AH194">
        <v>50.5</v>
      </c>
      <c r="AI194">
        <v>52.6</v>
      </c>
      <c r="AJ194">
        <v>54.7</v>
      </c>
      <c r="AK194">
        <v>57.5</v>
      </c>
      <c r="AL194">
        <v>61.4</v>
      </c>
    </row>
    <row r="195" spans="1:38" x14ac:dyDescent="0.3">
      <c r="A195" t="s">
        <v>404</v>
      </c>
      <c r="B195" t="s">
        <v>175</v>
      </c>
      <c r="C195" t="s">
        <v>519</v>
      </c>
      <c r="D195">
        <v>100</v>
      </c>
      <c r="E195">
        <v>100</v>
      </c>
      <c r="F195">
        <v>100</v>
      </c>
      <c r="G195">
        <v>100</v>
      </c>
      <c r="H195">
        <v>100</v>
      </c>
      <c r="I195">
        <v>100</v>
      </c>
      <c r="J195">
        <v>100</v>
      </c>
      <c r="K195">
        <v>100</v>
      </c>
      <c r="L195">
        <v>100</v>
      </c>
      <c r="M195">
        <v>100</v>
      </c>
      <c r="N195">
        <v>100</v>
      </c>
      <c r="O195">
        <v>100</v>
      </c>
      <c r="P195">
        <v>100</v>
      </c>
      <c r="Q195">
        <v>100</v>
      </c>
      <c r="R195">
        <v>100</v>
      </c>
      <c r="S195">
        <v>100</v>
      </c>
      <c r="T195">
        <v>100</v>
      </c>
      <c r="U195">
        <v>100</v>
      </c>
      <c r="V195">
        <v>100</v>
      </c>
      <c r="W195">
        <v>100</v>
      </c>
      <c r="X195">
        <v>100</v>
      </c>
      <c r="Y195">
        <v>100</v>
      </c>
      <c r="Z195">
        <v>100</v>
      </c>
      <c r="AA195">
        <v>100</v>
      </c>
      <c r="AB195">
        <v>100</v>
      </c>
      <c r="AC195">
        <v>100</v>
      </c>
      <c r="AD195">
        <v>100</v>
      </c>
      <c r="AE195">
        <v>100</v>
      </c>
      <c r="AF195">
        <v>100</v>
      </c>
      <c r="AG195">
        <v>100</v>
      </c>
      <c r="AH195">
        <v>100</v>
      </c>
      <c r="AI195">
        <v>100</v>
      </c>
      <c r="AJ195">
        <v>100</v>
      </c>
      <c r="AK195">
        <v>100</v>
      </c>
      <c r="AL195">
        <v>100</v>
      </c>
    </row>
    <row r="196" spans="1:38" x14ac:dyDescent="0.3">
      <c r="A196" t="s">
        <v>464</v>
      </c>
      <c r="B196" t="s">
        <v>65</v>
      </c>
      <c r="C196" t="s">
        <v>519</v>
      </c>
      <c r="I196">
        <v>77.469114000000005</v>
      </c>
      <c r="J196">
        <v>86.260055541992202</v>
      </c>
      <c r="K196">
        <v>86.412853999999996</v>
      </c>
      <c r="L196">
        <v>87.762367248535199</v>
      </c>
      <c r="M196">
        <v>88.518176999999994</v>
      </c>
      <c r="N196">
        <v>89.6</v>
      </c>
      <c r="O196">
        <v>91</v>
      </c>
      <c r="P196">
        <v>91.7</v>
      </c>
      <c r="Q196">
        <v>92.6</v>
      </c>
      <c r="R196">
        <v>93.2</v>
      </c>
      <c r="S196">
        <v>94.7</v>
      </c>
      <c r="T196">
        <v>96.7</v>
      </c>
      <c r="U196">
        <v>96.5</v>
      </c>
      <c r="V196">
        <v>96.7</v>
      </c>
      <c r="W196">
        <v>96.9</v>
      </c>
      <c r="X196">
        <v>97.4</v>
      </c>
      <c r="Y196">
        <v>98.2</v>
      </c>
      <c r="Z196">
        <v>97.8</v>
      </c>
      <c r="AA196">
        <v>99</v>
      </c>
      <c r="AB196">
        <v>99</v>
      </c>
      <c r="AC196">
        <v>99.3</v>
      </c>
      <c r="AD196">
        <v>98.4</v>
      </c>
      <c r="AE196">
        <v>99.3</v>
      </c>
      <c r="AF196">
        <v>99.6</v>
      </c>
      <c r="AG196">
        <v>99.7</v>
      </c>
      <c r="AH196">
        <v>99.7</v>
      </c>
      <c r="AI196">
        <v>100</v>
      </c>
      <c r="AJ196">
        <v>100</v>
      </c>
      <c r="AK196">
        <v>99.8</v>
      </c>
      <c r="AL196">
        <v>99.8</v>
      </c>
    </row>
    <row r="197" spans="1:38" x14ac:dyDescent="0.3">
      <c r="A197" t="s">
        <v>79</v>
      </c>
      <c r="B197" t="s">
        <v>179</v>
      </c>
      <c r="C197" t="s">
        <v>519</v>
      </c>
      <c r="K197">
        <v>97.9</v>
      </c>
      <c r="L197">
        <v>98.539299011230497</v>
      </c>
      <c r="M197">
        <v>98.623153686523395</v>
      </c>
      <c r="N197">
        <v>99.7</v>
      </c>
      <c r="O197">
        <v>99.1</v>
      </c>
      <c r="P197">
        <v>99.2</v>
      </c>
      <c r="Q197">
        <v>99.1</v>
      </c>
      <c r="R197">
        <v>99.5</v>
      </c>
      <c r="S197">
        <v>99.6</v>
      </c>
      <c r="T197">
        <v>99.7</v>
      </c>
      <c r="U197">
        <v>98.8</v>
      </c>
      <c r="V197">
        <v>99.8</v>
      </c>
      <c r="W197">
        <v>99.9</v>
      </c>
      <c r="X197">
        <v>99.9</v>
      </c>
      <c r="Y197">
        <v>99.7</v>
      </c>
      <c r="Z197">
        <v>99.8</v>
      </c>
      <c r="AA197">
        <v>99.9</v>
      </c>
      <c r="AB197">
        <v>99.9</v>
      </c>
      <c r="AC197">
        <v>99.9</v>
      </c>
      <c r="AD197">
        <v>100</v>
      </c>
      <c r="AE197">
        <v>99.9</v>
      </c>
      <c r="AF197">
        <v>100</v>
      </c>
      <c r="AG197">
        <v>100</v>
      </c>
      <c r="AH197">
        <v>100</v>
      </c>
      <c r="AI197">
        <v>100</v>
      </c>
      <c r="AJ197">
        <v>100</v>
      </c>
      <c r="AK197">
        <v>100</v>
      </c>
      <c r="AL197">
        <v>100</v>
      </c>
    </row>
    <row r="198" spans="1:38" x14ac:dyDescent="0.3">
      <c r="A198" t="s">
        <v>120</v>
      </c>
      <c r="B198" t="s">
        <v>188</v>
      </c>
      <c r="C198" t="s">
        <v>519</v>
      </c>
      <c r="M198">
        <v>56.911424677257614</v>
      </c>
      <c r="N198">
        <v>55.287518080335929</v>
      </c>
      <c r="O198">
        <v>56.63281344470559</v>
      </c>
      <c r="P198">
        <v>58.333247934755988</v>
      </c>
      <c r="Q198">
        <v>59.433740200849577</v>
      </c>
      <c r="R198">
        <v>60.618657845122705</v>
      </c>
      <c r="S198">
        <v>62.241437049919611</v>
      </c>
      <c r="T198">
        <v>61.667114683048766</v>
      </c>
      <c r="U198">
        <v>63.937692935358371</v>
      </c>
      <c r="V198">
        <v>67.261299464149985</v>
      </c>
      <c r="W198">
        <v>64.820189740706553</v>
      </c>
      <c r="X198">
        <v>71.796125271304817</v>
      </c>
      <c r="Y198">
        <v>72.804458229332695</v>
      </c>
      <c r="Z198">
        <v>73.831646048086583</v>
      </c>
      <c r="AA198">
        <v>72.661798432266835</v>
      </c>
      <c r="AB198">
        <v>76.575403112571649</v>
      </c>
      <c r="AC198">
        <v>78.547789503550518</v>
      </c>
      <c r="AD198">
        <v>79.908342259283856</v>
      </c>
      <c r="AE198">
        <v>82.104173467798205</v>
      </c>
      <c r="AF198">
        <v>82.697827309029975</v>
      </c>
      <c r="AG198">
        <v>84.343435088232923</v>
      </c>
      <c r="AH198">
        <v>86.193981133660202</v>
      </c>
      <c r="AI198">
        <v>85.670817823547807</v>
      </c>
      <c r="AJ198">
        <v>85.603810057721077</v>
      </c>
      <c r="AK198">
        <v>88.870571361850111</v>
      </c>
      <c r="AL198">
        <v>88.267227591739413</v>
      </c>
    </row>
    <row r="199" spans="1:38" x14ac:dyDescent="0.3">
      <c r="A199" t="s">
        <v>561</v>
      </c>
      <c r="B199" t="s">
        <v>254</v>
      </c>
      <c r="C199" t="s">
        <v>519</v>
      </c>
      <c r="D199">
        <v>99.99439658641397</v>
      </c>
      <c r="E199">
        <v>99.995750618066495</v>
      </c>
      <c r="F199">
        <v>99.997093795937005</v>
      </c>
      <c r="G199">
        <v>99.998339945761643</v>
      </c>
      <c r="H199">
        <v>99.999263020559411</v>
      </c>
      <c r="I199">
        <v>99.999767520363775</v>
      </c>
      <c r="J199">
        <v>99.999775981583667</v>
      </c>
      <c r="K199">
        <v>99.999784490833903</v>
      </c>
      <c r="L199">
        <v>99.999793273001643</v>
      </c>
      <c r="M199">
        <v>99.999802320913517</v>
      </c>
      <c r="N199">
        <v>99.715016644024502</v>
      </c>
      <c r="O199">
        <v>99.725559314019804</v>
      </c>
      <c r="P199">
        <v>99.731600722774516</v>
      </c>
      <c r="Q199">
        <v>99.755545109639414</v>
      </c>
      <c r="R199">
        <v>99.77219940272586</v>
      </c>
      <c r="S199">
        <v>99.80642107101869</v>
      </c>
      <c r="T199">
        <v>99.802785963856863</v>
      </c>
      <c r="U199">
        <v>99.830497747894952</v>
      </c>
      <c r="V199">
        <v>99.843265533165919</v>
      </c>
      <c r="W199">
        <v>99.862210110366206</v>
      </c>
      <c r="X199">
        <v>99.880152411207902</v>
      </c>
      <c r="Y199">
        <v>99.892758605592817</v>
      </c>
      <c r="Z199">
        <v>99.902946528047877</v>
      </c>
      <c r="AA199">
        <v>99.918883658509998</v>
      </c>
      <c r="AB199">
        <v>99.932055607874616</v>
      </c>
      <c r="AC199">
        <v>99.9447341377698</v>
      </c>
      <c r="AD199">
        <v>99.957781630561257</v>
      </c>
      <c r="AE199">
        <v>99.971122525168028</v>
      </c>
      <c r="AF199">
        <v>99.98216005566421</v>
      </c>
      <c r="AG199">
        <v>99.993242462761884</v>
      </c>
      <c r="AH199">
        <v>99.997240077397763</v>
      </c>
      <c r="AI199">
        <v>99.998834420809729</v>
      </c>
      <c r="AJ199">
        <v>100</v>
      </c>
      <c r="AK199">
        <v>100</v>
      </c>
      <c r="AL199">
        <v>100</v>
      </c>
    </row>
    <row r="200" spans="1:38" x14ac:dyDescent="0.3">
      <c r="A200" t="s">
        <v>337</v>
      </c>
      <c r="B200" t="s">
        <v>546</v>
      </c>
      <c r="C200" t="s">
        <v>519</v>
      </c>
      <c r="D200">
        <v>100</v>
      </c>
      <c r="E200">
        <v>100</v>
      </c>
      <c r="F200">
        <v>100</v>
      </c>
      <c r="G200">
        <v>100</v>
      </c>
      <c r="H200">
        <v>100</v>
      </c>
      <c r="I200">
        <v>100</v>
      </c>
      <c r="J200">
        <v>100</v>
      </c>
      <c r="K200">
        <v>100</v>
      </c>
      <c r="L200">
        <v>100</v>
      </c>
      <c r="M200">
        <v>100</v>
      </c>
      <c r="N200">
        <v>100</v>
      </c>
      <c r="O200">
        <v>100</v>
      </c>
      <c r="P200">
        <v>100</v>
      </c>
      <c r="Q200">
        <v>100</v>
      </c>
      <c r="R200">
        <v>100</v>
      </c>
      <c r="S200">
        <v>100</v>
      </c>
      <c r="T200">
        <v>100</v>
      </c>
      <c r="U200">
        <v>100</v>
      </c>
      <c r="V200">
        <v>100</v>
      </c>
      <c r="W200">
        <v>100</v>
      </c>
      <c r="X200">
        <v>100</v>
      </c>
      <c r="Y200">
        <v>100</v>
      </c>
      <c r="Z200">
        <v>100</v>
      </c>
      <c r="AA200">
        <v>100</v>
      </c>
      <c r="AB200">
        <v>100</v>
      </c>
      <c r="AC200">
        <v>100</v>
      </c>
      <c r="AD200">
        <v>100</v>
      </c>
      <c r="AE200">
        <v>100</v>
      </c>
      <c r="AF200">
        <v>100</v>
      </c>
      <c r="AG200">
        <v>100</v>
      </c>
      <c r="AH200">
        <v>100</v>
      </c>
      <c r="AI200">
        <v>100</v>
      </c>
      <c r="AJ200">
        <v>100</v>
      </c>
      <c r="AK200">
        <v>100</v>
      </c>
      <c r="AL200">
        <v>100</v>
      </c>
    </row>
    <row r="201" spans="1:38" x14ac:dyDescent="0.3">
      <c r="A201" t="s">
        <v>582</v>
      </c>
      <c r="B201" t="s">
        <v>24</v>
      </c>
      <c r="C201" t="s">
        <v>519</v>
      </c>
      <c r="D201">
        <v>100</v>
      </c>
      <c r="E201">
        <v>100</v>
      </c>
      <c r="F201">
        <v>100</v>
      </c>
      <c r="G201">
        <v>100</v>
      </c>
      <c r="H201">
        <v>100</v>
      </c>
      <c r="I201">
        <v>100</v>
      </c>
      <c r="J201">
        <v>100</v>
      </c>
      <c r="K201">
        <v>100</v>
      </c>
      <c r="L201">
        <v>100</v>
      </c>
      <c r="M201">
        <v>100</v>
      </c>
      <c r="N201">
        <v>100</v>
      </c>
      <c r="O201">
        <v>100</v>
      </c>
      <c r="P201">
        <v>100</v>
      </c>
      <c r="Q201">
        <v>100</v>
      </c>
      <c r="R201">
        <v>100</v>
      </c>
      <c r="S201">
        <v>100</v>
      </c>
      <c r="T201">
        <v>100</v>
      </c>
      <c r="U201">
        <v>100</v>
      </c>
      <c r="V201">
        <v>100</v>
      </c>
      <c r="W201">
        <v>100</v>
      </c>
      <c r="X201">
        <v>100</v>
      </c>
      <c r="Y201">
        <v>100</v>
      </c>
      <c r="Z201">
        <v>100</v>
      </c>
      <c r="AA201">
        <v>100</v>
      </c>
      <c r="AB201">
        <v>100</v>
      </c>
      <c r="AC201">
        <v>100</v>
      </c>
      <c r="AD201">
        <v>100</v>
      </c>
      <c r="AE201">
        <v>100</v>
      </c>
      <c r="AF201">
        <v>100</v>
      </c>
      <c r="AG201">
        <v>100</v>
      </c>
      <c r="AH201">
        <v>100</v>
      </c>
      <c r="AI201">
        <v>100</v>
      </c>
      <c r="AJ201">
        <v>100</v>
      </c>
      <c r="AK201">
        <v>100</v>
      </c>
      <c r="AL201">
        <v>100</v>
      </c>
    </row>
    <row r="202" spans="1:38" x14ac:dyDescent="0.3">
      <c r="A202" t="s">
        <v>523</v>
      </c>
      <c r="B202" t="s">
        <v>305</v>
      </c>
      <c r="C202" t="s">
        <v>519</v>
      </c>
      <c r="D202">
        <v>100</v>
      </c>
      <c r="E202">
        <v>100</v>
      </c>
      <c r="F202">
        <v>100</v>
      </c>
      <c r="G202">
        <v>100</v>
      </c>
      <c r="H202">
        <v>100</v>
      </c>
      <c r="I202">
        <v>100</v>
      </c>
      <c r="J202">
        <v>100</v>
      </c>
      <c r="K202">
        <v>100</v>
      </c>
      <c r="L202">
        <v>100</v>
      </c>
      <c r="M202">
        <v>100</v>
      </c>
      <c r="N202">
        <v>94.4</v>
      </c>
      <c r="O202">
        <v>94.6</v>
      </c>
      <c r="P202">
        <v>94.9</v>
      </c>
      <c r="Q202">
        <v>95.1</v>
      </c>
      <c r="R202">
        <v>95.3</v>
      </c>
      <c r="S202">
        <v>95.6</v>
      </c>
      <c r="T202">
        <v>95.9</v>
      </c>
      <c r="U202">
        <v>96.1</v>
      </c>
      <c r="V202">
        <v>96.5</v>
      </c>
      <c r="W202">
        <v>96.8</v>
      </c>
      <c r="X202">
        <v>97.1</v>
      </c>
      <c r="Y202">
        <v>97.4</v>
      </c>
      <c r="Z202">
        <v>97.8</v>
      </c>
      <c r="AA202">
        <v>98.1</v>
      </c>
      <c r="AB202">
        <v>98.4</v>
      </c>
      <c r="AC202">
        <v>98.8</v>
      </c>
      <c r="AD202">
        <v>99.1</v>
      </c>
      <c r="AE202">
        <v>100</v>
      </c>
      <c r="AF202">
        <v>99.8</v>
      </c>
      <c r="AG202">
        <v>100</v>
      </c>
      <c r="AH202">
        <v>100</v>
      </c>
      <c r="AI202">
        <v>100</v>
      </c>
      <c r="AJ202">
        <v>100</v>
      </c>
      <c r="AK202">
        <v>100</v>
      </c>
      <c r="AL202">
        <v>100</v>
      </c>
    </row>
    <row r="203" spans="1:38" x14ac:dyDescent="0.3">
      <c r="A203" t="s">
        <v>2</v>
      </c>
      <c r="B203" t="s">
        <v>329</v>
      </c>
      <c r="C203" t="s">
        <v>519</v>
      </c>
      <c r="D203">
        <v>100</v>
      </c>
      <c r="E203">
        <v>100</v>
      </c>
      <c r="F203">
        <v>100</v>
      </c>
      <c r="G203">
        <v>100</v>
      </c>
      <c r="H203">
        <v>100</v>
      </c>
      <c r="I203">
        <v>100</v>
      </c>
      <c r="J203">
        <v>100</v>
      </c>
      <c r="K203">
        <v>100</v>
      </c>
      <c r="L203">
        <v>100</v>
      </c>
      <c r="M203">
        <v>100</v>
      </c>
      <c r="N203">
        <v>97.8</v>
      </c>
      <c r="O203">
        <v>97.9</v>
      </c>
      <c r="P203">
        <v>97.9</v>
      </c>
      <c r="Q203">
        <v>97.9</v>
      </c>
      <c r="R203">
        <v>98</v>
      </c>
      <c r="S203">
        <v>98</v>
      </c>
      <c r="T203">
        <v>98.1</v>
      </c>
      <c r="U203">
        <v>98.2</v>
      </c>
      <c r="V203">
        <v>98.3</v>
      </c>
      <c r="W203">
        <v>98.4</v>
      </c>
      <c r="X203">
        <v>99.3</v>
      </c>
      <c r="Y203">
        <v>99.2</v>
      </c>
      <c r="Z203">
        <v>100</v>
      </c>
      <c r="AA203">
        <v>100</v>
      </c>
      <c r="AB203">
        <v>100</v>
      </c>
      <c r="AC203">
        <v>95.5</v>
      </c>
      <c r="AD203">
        <v>99.4</v>
      </c>
      <c r="AE203">
        <v>100</v>
      </c>
      <c r="AF203">
        <v>100</v>
      </c>
      <c r="AG203">
        <v>99.8</v>
      </c>
      <c r="AH203">
        <v>99.9</v>
      </c>
      <c r="AI203">
        <v>100</v>
      </c>
      <c r="AJ203">
        <v>100</v>
      </c>
      <c r="AK203">
        <v>100</v>
      </c>
      <c r="AL203">
        <v>100</v>
      </c>
    </row>
    <row r="204" spans="1:38" x14ac:dyDescent="0.3">
      <c r="A204" t="s">
        <v>247</v>
      </c>
      <c r="B204" t="s">
        <v>86</v>
      </c>
      <c r="C204" t="s">
        <v>519</v>
      </c>
      <c r="F204">
        <v>2.2999999999999998</v>
      </c>
      <c r="K204">
        <v>1.0278359651565601</v>
      </c>
      <c r="L204">
        <v>2.1741275787353498</v>
      </c>
      <c r="M204">
        <v>3.3155770301818799</v>
      </c>
      <c r="N204">
        <v>6.2</v>
      </c>
      <c r="O204">
        <v>4.7</v>
      </c>
      <c r="P204">
        <v>6</v>
      </c>
      <c r="Q204">
        <v>7.4</v>
      </c>
      <c r="R204">
        <v>8.6999999999999993</v>
      </c>
      <c r="S204">
        <v>4.8</v>
      </c>
      <c r="T204">
        <v>11.4</v>
      </c>
      <c r="U204">
        <v>12.8</v>
      </c>
      <c r="V204">
        <v>6</v>
      </c>
      <c r="W204">
        <v>15.6</v>
      </c>
      <c r="X204">
        <v>9.6999999999999993</v>
      </c>
      <c r="Y204">
        <v>10.8</v>
      </c>
      <c r="Z204">
        <v>17.5</v>
      </c>
      <c r="AA204">
        <v>15.2</v>
      </c>
      <c r="AB204">
        <v>19.8</v>
      </c>
      <c r="AC204">
        <v>22.8</v>
      </c>
      <c r="AD204">
        <v>29.4</v>
      </c>
      <c r="AE204">
        <v>34.1</v>
      </c>
      <c r="AF204">
        <v>38</v>
      </c>
      <c r="AG204">
        <v>46.6</v>
      </c>
      <c r="AH204">
        <v>45.2</v>
      </c>
      <c r="AI204">
        <v>48.7</v>
      </c>
      <c r="AJ204">
        <v>50.6</v>
      </c>
      <c r="AK204">
        <v>63.9</v>
      </c>
      <c r="AL204">
        <v>72</v>
      </c>
    </row>
    <row r="205" spans="1:38" x14ac:dyDescent="0.3">
      <c r="A205" t="s">
        <v>82</v>
      </c>
      <c r="B205" t="s">
        <v>115</v>
      </c>
      <c r="C205" t="s">
        <v>519</v>
      </c>
      <c r="G205">
        <v>46.563983968294629</v>
      </c>
      <c r="H205">
        <v>46.182183503465026</v>
      </c>
      <c r="I205">
        <v>47.664682185542482</v>
      </c>
      <c r="J205">
        <v>48.766499269409202</v>
      </c>
      <c r="K205">
        <v>50.296010492563781</v>
      </c>
      <c r="L205">
        <v>52.230373880599338</v>
      </c>
      <c r="M205">
        <v>56.017741200767468</v>
      </c>
      <c r="N205">
        <v>56.766424676409187</v>
      </c>
      <c r="O205">
        <v>58.348521315957726</v>
      </c>
      <c r="P205">
        <v>59.415783976672039</v>
      </c>
      <c r="Q205">
        <v>62.341103055880524</v>
      </c>
      <c r="R205">
        <v>61.484283033919738</v>
      </c>
      <c r="S205">
        <v>65.853646016292331</v>
      </c>
      <c r="T205">
        <v>65.923556586757158</v>
      </c>
      <c r="U205">
        <v>69.28488185924202</v>
      </c>
      <c r="V205">
        <v>71.77825886600202</v>
      </c>
      <c r="W205">
        <v>72.986586097352102</v>
      </c>
      <c r="X205">
        <v>74.07657363402366</v>
      </c>
      <c r="Y205">
        <v>77.309165158573165</v>
      </c>
      <c r="Z205">
        <v>78.419544450904866</v>
      </c>
      <c r="AA205">
        <v>80.847453203069037</v>
      </c>
      <c r="AB205">
        <v>82.848022429143143</v>
      </c>
      <c r="AC205">
        <v>86.532778462467249</v>
      </c>
      <c r="AD205">
        <v>88.318448040339817</v>
      </c>
      <c r="AE205">
        <v>91.398372830739703</v>
      </c>
      <c r="AF205">
        <v>94.819202405597835</v>
      </c>
      <c r="AG205">
        <v>95.46989539886529</v>
      </c>
      <c r="AH205">
        <v>96.401361739744075</v>
      </c>
      <c r="AI205">
        <v>99.369312913395106</v>
      </c>
      <c r="AJ205">
        <v>99.089511473193426</v>
      </c>
      <c r="AK205">
        <v>99.408788969740513</v>
      </c>
      <c r="AL205">
        <v>99.824642490205107</v>
      </c>
    </row>
    <row r="206" spans="1:38" x14ac:dyDescent="0.3">
      <c r="A206" t="s">
        <v>449</v>
      </c>
      <c r="B206" t="s">
        <v>225</v>
      </c>
      <c r="C206" t="s">
        <v>519</v>
      </c>
      <c r="D206">
        <v>100</v>
      </c>
      <c r="E206">
        <v>100</v>
      </c>
      <c r="F206">
        <v>100</v>
      </c>
      <c r="G206">
        <v>100</v>
      </c>
      <c r="H206">
        <v>100</v>
      </c>
      <c r="I206">
        <v>100</v>
      </c>
      <c r="J206">
        <v>100</v>
      </c>
      <c r="K206">
        <v>100</v>
      </c>
      <c r="L206">
        <v>100</v>
      </c>
      <c r="M206">
        <v>100</v>
      </c>
      <c r="N206">
        <v>100</v>
      </c>
      <c r="O206">
        <v>100</v>
      </c>
      <c r="P206">
        <v>100</v>
      </c>
      <c r="Q206">
        <v>100</v>
      </c>
      <c r="R206">
        <v>100</v>
      </c>
      <c r="S206">
        <v>100</v>
      </c>
      <c r="T206">
        <v>100</v>
      </c>
      <c r="U206">
        <v>100</v>
      </c>
      <c r="V206">
        <v>100</v>
      </c>
      <c r="W206">
        <v>100</v>
      </c>
      <c r="X206">
        <v>100</v>
      </c>
      <c r="Y206">
        <v>100</v>
      </c>
      <c r="Z206">
        <v>100</v>
      </c>
      <c r="AA206">
        <v>100</v>
      </c>
      <c r="AB206">
        <v>100</v>
      </c>
      <c r="AC206">
        <v>100</v>
      </c>
      <c r="AD206">
        <v>99.9</v>
      </c>
      <c r="AE206">
        <v>100</v>
      </c>
      <c r="AF206">
        <v>99.9</v>
      </c>
      <c r="AG206">
        <v>100</v>
      </c>
      <c r="AH206">
        <v>100</v>
      </c>
      <c r="AI206">
        <v>100</v>
      </c>
      <c r="AJ206">
        <v>100</v>
      </c>
      <c r="AK206">
        <v>100</v>
      </c>
      <c r="AL206">
        <v>100</v>
      </c>
    </row>
    <row r="207" spans="1:38" x14ac:dyDescent="0.3">
      <c r="A207" t="s">
        <v>207</v>
      </c>
      <c r="B207" t="s">
        <v>435</v>
      </c>
      <c r="C207" t="s">
        <v>519</v>
      </c>
      <c r="D207">
        <v>32.799999999999997</v>
      </c>
      <c r="E207">
        <v>26.919294357299801</v>
      </c>
      <c r="F207">
        <v>27.408613204956101</v>
      </c>
      <c r="G207">
        <v>27.897253036498999</v>
      </c>
      <c r="H207">
        <v>28.384534835815401</v>
      </c>
      <c r="I207">
        <v>28.8697834014893</v>
      </c>
      <c r="J207">
        <v>29.35231590271</v>
      </c>
      <c r="K207">
        <v>29.831457138061499</v>
      </c>
      <c r="L207">
        <v>30.3065280914307</v>
      </c>
      <c r="M207">
        <v>30.776756286621101</v>
      </c>
      <c r="N207">
        <v>23</v>
      </c>
      <c r="O207">
        <v>29.4</v>
      </c>
      <c r="P207">
        <v>29.7</v>
      </c>
      <c r="Q207">
        <v>29.9</v>
      </c>
      <c r="R207">
        <v>30.2</v>
      </c>
      <c r="S207">
        <v>30.5</v>
      </c>
      <c r="T207">
        <v>30.8</v>
      </c>
      <c r="U207">
        <v>31.1</v>
      </c>
      <c r="V207">
        <v>20</v>
      </c>
      <c r="W207">
        <v>29</v>
      </c>
      <c r="X207">
        <v>36</v>
      </c>
      <c r="Y207">
        <v>38.299999999999997</v>
      </c>
      <c r="Z207">
        <v>40.700000000000003</v>
      </c>
      <c r="AA207">
        <v>43.1</v>
      </c>
      <c r="AB207">
        <v>44.9</v>
      </c>
      <c r="AC207">
        <v>48</v>
      </c>
      <c r="AD207">
        <v>50.5</v>
      </c>
      <c r="AE207">
        <v>53</v>
      </c>
      <c r="AF207">
        <v>55.3</v>
      </c>
      <c r="AG207">
        <v>57.6</v>
      </c>
      <c r="AH207">
        <v>59.7</v>
      </c>
      <c r="AI207">
        <v>61.8</v>
      </c>
      <c r="AJ207">
        <v>63.2</v>
      </c>
      <c r="AK207">
        <v>66</v>
      </c>
      <c r="AL207">
        <v>66</v>
      </c>
    </row>
    <row r="208" spans="1:38" x14ac:dyDescent="0.3">
      <c r="A208" t="s">
        <v>33</v>
      </c>
      <c r="B208" t="s">
        <v>529</v>
      </c>
      <c r="C208" t="s">
        <v>519</v>
      </c>
      <c r="G208">
        <v>26</v>
      </c>
      <c r="H208">
        <v>27.190486907958999</v>
      </c>
      <c r="I208">
        <v>28.857191085815401</v>
      </c>
      <c r="J208">
        <v>30.521177291870099</v>
      </c>
      <c r="K208">
        <v>32.200000000000003</v>
      </c>
      <c r="L208">
        <v>33.838268280029297</v>
      </c>
      <c r="M208">
        <v>36.200000000000003</v>
      </c>
      <c r="N208">
        <v>37.700000000000003</v>
      </c>
      <c r="O208">
        <v>38.9</v>
      </c>
      <c r="P208">
        <v>36.799999999999997</v>
      </c>
      <c r="Q208">
        <v>41.9</v>
      </c>
      <c r="R208">
        <v>36.799999999999997</v>
      </c>
      <c r="S208">
        <v>47.1</v>
      </c>
      <c r="T208">
        <v>49.9</v>
      </c>
      <c r="U208">
        <v>48.1</v>
      </c>
      <c r="V208">
        <v>49.7</v>
      </c>
      <c r="W208">
        <v>53.5</v>
      </c>
      <c r="X208">
        <v>56.5</v>
      </c>
      <c r="Y208">
        <v>56.5</v>
      </c>
      <c r="Z208">
        <v>56.5</v>
      </c>
      <c r="AA208">
        <v>57</v>
      </c>
      <c r="AB208">
        <v>61</v>
      </c>
      <c r="AC208">
        <v>60.5</v>
      </c>
      <c r="AD208">
        <v>64.5</v>
      </c>
      <c r="AE208">
        <v>61.7</v>
      </c>
      <c r="AF208">
        <v>66</v>
      </c>
      <c r="AG208">
        <v>70.400000000000006</v>
      </c>
      <c r="AH208">
        <v>64.3</v>
      </c>
      <c r="AI208">
        <v>68</v>
      </c>
      <c r="AJ208">
        <v>67.900000000000006</v>
      </c>
      <c r="AK208">
        <v>74.2</v>
      </c>
      <c r="AL208">
        <v>82.9</v>
      </c>
    </row>
    <row r="209" spans="1:38" x14ac:dyDescent="0.3">
      <c r="A209" t="s">
        <v>478</v>
      </c>
      <c r="B209" t="s">
        <v>76</v>
      </c>
      <c r="C209" t="s">
        <v>519</v>
      </c>
      <c r="D209">
        <v>100</v>
      </c>
      <c r="E209">
        <v>100</v>
      </c>
      <c r="F209">
        <v>100</v>
      </c>
      <c r="G209">
        <v>100</v>
      </c>
      <c r="H209">
        <v>100</v>
      </c>
      <c r="I209">
        <v>100</v>
      </c>
      <c r="J209">
        <v>100</v>
      </c>
      <c r="K209">
        <v>100</v>
      </c>
      <c r="L209">
        <v>100</v>
      </c>
      <c r="M209">
        <v>100</v>
      </c>
      <c r="N209">
        <v>100</v>
      </c>
      <c r="O209">
        <v>100</v>
      </c>
      <c r="P209">
        <v>100</v>
      </c>
      <c r="Q209">
        <v>100</v>
      </c>
      <c r="R209">
        <v>100</v>
      </c>
      <c r="S209">
        <v>100</v>
      </c>
      <c r="T209">
        <v>100</v>
      </c>
      <c r="U209">
        <v>100</v>
      </c>
      <c r="V209">
        <v>100</v>
      </c>
      <c r="W209">
        <v>100</v>
      </c>
      <c r="X209">
        <v>100</v>
      </c>
      <c r="Y209">
        <v>100</v>
      </c>
      <c r="Z209">
        <v>100</v>
      </c>
      <c r="AA209">
        <v>100</v>
      </c>
      <c r="AB209">
        <v>100</v>
      </c>
      <c r="AC209">
        <v>100</v>
      </c>
      <c r="AD209">
        <v>100</v>
      </c>
      <c r="AE209">
        <v>100</v>
      </c>
      <c r="AF209">
        <v>100</v>
      </c>
      <c r="AG209">
        <v>100</v>
      </c>
      <c r="AH209">
        <v>100</v>
      </c>
      <c r="AI209">
        <v>100</v>
      </c>
      <c r="AJ209">
        <v>100</v>
      </c>
      <c r="AK209">
        <v>100</v>
      </c>
      <c r="AL209">
        <v>100</v>
      </c>
    </row>
    <row r="210" spans="1:38" x14ac:dyDescent="0.3">
      <c r="A210" t="s">
        <v>92</v>
      </c>
      <c r="B210" t="s">
        <v>289</v>
      </c>
      <c r="C210" t="s">
        <v>519</v>
      </c>
      <c r="M210">
        <v>15.7</v>
      </c>
      <c r="N210">
        <v>4.7</v>
      </c>
      <c r="O210">
        <v>7.6</v>
      </c>
      <c r="P210">
        <v>10.5</v>
      </c>
      <c r="Q210">
        <v>13.4</v>
      </c>
      <c r="R210">
        <v>16.3</v>
      </c>
      <c r="S210">
        <v>19.2</v>
      </c>
      <c r="T210">
        <v>14.4</v>
      </c>
      <c r="U210">
        <v>12.9</v>
      </c>
      <c r="V210">
        <v>28.1</v>
      </c>
      <c r="W210">
        <v>21.2</v>
      </c>
      <c r="X210">
        <v>35.4</v>
      </c>
      <c r="Y210">
        <v>39.1</v>
      </c>
      <c r="Z210">
        <v>42.9</v>
      </c>
      <c r="AA210">
        <v>44.7</v>
      </c>
      <c r="AB210">
        <v>50.5</v>
      </c>
      <c r="AC210">
        <v>55.1</v>
      </c>
      <c r="AD210">
        <v>58.2</v>
      </c>
      <c r="AE210">
        <v>62.9</v>
      </c>
      <c r="AF210">
        <v>65.8</v>
      </c>
      <c r="AG210">
        <v>69.400000000000006</v>
      </c>
      <c r="AH210">
        <v>72.900000000000006</v>
      </c>
      <c r="AI210">
        <v>76.3</v>
      </c>
      <c r="AJ210">
        <v>76</v>
      </c>
      <c r="AK210">
        <v>81.3</v>
      </c>
      <c r="AL210">
        <v>81.5</v>
      </c>
    </row>
    <row r="211" spans="1:38" x14ac:dyDescent="0.3">
      <c r="A211" t="s">
        <v>667</v>
      </c>
      <c r="B211" t="s">
        <v>611</v>
      </c>
      <c r="C211" t="s">
        <v>519</v>
      </c>
      <c r="N211">
        <v>7.7</v>
      </c>
      <c r="O211">
        <v>8.5</v>
      </c>
      <c r="P211">
        <v>9.1999999999999993</v>
      </c>
      <c r="Q211">
        <v>9.9</v>
      </c>
      <c r="R211">
        <v>16.8</v>
      </c>
      <c r="S211">
        <v>11.3</v>
      </c>
      <c r="T211">
        <v>12.2</v>
      </c>
      <c r="U211">
        <v>13</v>
      </c>
      <c r="V211">
        <v>12.1</v>
      </c>
      <c r="W211">
        <v>14.6</v>
      </c>
      <c r="X211">
        <v>11.5</v>
      </c>
      <c r="Y211">
        <v>14.2</v>
      </c>
      <c r="Z211">
        <v>17.2</v>
      </c>
      <c r="AA211">
        <v>13.5</v>
      </c>
      <c r="AB211">
        <v>18.8</v>
      </c>
      <c r="AC211">
        <v>19.7</v>
      </c>
      <c r="AD211">
        <v>20.3</v>
      </c>
      <c r="AE211">
        <v>23.4</v>
      </c>
      <c r="AF211">
        <v>26.1</v>
      </c>
      <c r="AG211">
        <v>22.7</v>
      </c>
      <c r="AH211">
        <v>26.3</v>
      </c>
      <c r="AI211">
        <v>27.5</v>
      </c>
      <c r="AJ211">
        <v>29.4</v>
      </c>
      <c r="AK211">
        <v>35.5</v>
      </c>
      <c r="AL211">
        <v>39.200000000000003</v>
      </c>
    </row>
    <row r="212" spans="1:38" x14ac:dyDescent="0.3">
      <c r="A212" t="s">
        <v>542</v>
      </c>
      <c r="B212" t="s">
        <v>87</v>
      </c>
      <c r="C212" t="s">
        <v>519</v>
      </c>
      <c r="E212">
        <v>69.607879999999994</v>
      </c>
      <c r="F212">
        <v>75.332191467285199</v>
      </c>
      <c r="G212">
        <v>76.276138305664105</v>
      </c>
      <c r="H212">
        <v>77.218719482421903</v>
      </c>
      <c r="I212">
        <v>76.995503999999997</v>
      </c>
      <c r="J212">
        <v>77.882999999999996</v>
      </c>
      <c r="K212">
        <v>80.031517028808594</v>
      </c>
      <c r="L212">
        <v>81.637983000000006</v>
      </c>
      <c r="M212">
        <v>79.129592000000002</v>
      </c>
      <c r="N212">
        <v>84.5</v>
      </c>
      <c r="O212">
        <v>87.1</v>
      </c>
      <c r="P212">
        <v>87.5</v>
      </c>
      <c r="Q212">
        <v>87</v>
      </c>
      <c r="R212">
        <v>87.4</v>
      </c>
      <c r="S212">
        <v>87.5</v>
      </c>
      <c r="T212">
        <v>89.2</v>
      </c>
      <c r="U212">
        <v>91.1</v>
      </c>
      <c r="V212">
        <v>91</v>
      </c>
      <c r="W212">
        <v>91.1</v>
      </c>
      <c r="X212">
        <v>91.6</v>
      </c>
      <c r="Y212">
        <v>92.6</v>
      </c>
      <c r="Z212">
        <v>93.7</v>
      </c>
      <c r="AA212">
        <v>95</v>
      </c>
      <c r="AB212">
        <v>95.1</v>
      </c>
      <c r="AC212">
        <v>95.4</v>
      </c>
      <c r="AD212">
        <v>96</v>
      </c>
      <c r="AE212">
        <v>96.8</v>
      </c>
      <c r="AF212">
        <v>97</v>
      </c>
      <c r="AG212">
        <v>97.4</v>
      </c>
      <c r="AH212">
        <v>99.7</v>
      </c>
      <c r="AI212">
        <v>97.9</v>
      </c>
      <c r="AJ212">
        <v>100</v>
      </c>
      <c r="AK212">
        <v>98.3</v>
      </c>
      <c r="AL212">
        <v>98.7</v>
      </c>
    </row>
    <row r="213" spans="1:38" x14ac:dyDescent="0.3">
      <c r="A213" t="s">
        <v>427</v>
      </c>
      <c r="B213" t="s">
        <v>489</v>
      </c>
      <c r="C213" t="s">
        <v>519</v>
      </c>
      <c r="D213">
        <v>100</v>
      </c>
      <c r="E213">
        <v>100</v>
      </c>
      <c r="F213">
        <v>100</v>
      </c>
      <c r="G213">
        <v>100</v>
      </c>
      <c r="H213">
        <v>100</v>
      </c>
      <c r="I213">
        <v>100</v>
      </c>
      <c r="J213">
        <v>100</v>
      </c>
      <c r="K213">
        <v>100</v>
      </c>
      <c r="L213">
        <v>100</v>
      </c>
      <c r="M213">
        <v>100</v>
      </c>
      <c r="N213">
        <v>100</v>
      </c>
      <c r="O213">
        <v>100</v>
      </c>
      <c r="P213">
        <v>100</v>
      </c>
      <c r="Q213">
        <v>100</v>
      </c>
      <c r="R213">
        <v>100</v>
      </c>
      <c r="S213">
        <v>100</v>
      </c>
      <c r="T213">
        <v>100</v>
      </c>
      <c r="U213">
        <v>100</v>
      </c>
      <c r="V213">
        <v>100</v>
      </c>
      <c r="W213">
        <v>100</v>
      </c>
      <c r="X213">
        <v>100</v>
      </c>
      <c r="Y213">
        <v>100</v>
      </c>
      <c r="Z213">
        <v>100</v>
      </c>
      <c r="AA213">
        <v>100</v>
      </c>
      <c r="AB213">
        <v>100</v>
      </c>
      <c r="AC213">
        <v>100</v>
      </c>
      <c r="AD213">
        <v>100</v>
      </c>
      <c r="AE213">
        <v>100</v>
      </c>
      <c r="AF213">
        <v>100</v>
      </c>
      <c r="AG213">
        <v>100</v>
      </c>
      <c r="AH213">
        <v>100</v>
      </c>
      <c r="AI213">
        <v>100</v>
      </c>
      <c r="AJ213">
        <v>100</v>
      </c>
      <c r="AK213">
        <v>100</v>
      </c>
      <c r="AL213">
        <v>100</v>
      </c>
    </row>
    <row r="214" spans="1:38" x14ac:dyDescent="0.3">
      <c r="A214" t="s">
        <v>326</v>
      </c>
      <c r="B214" t="s">
        <v>31</v>
      </c>
      <c r="C214" t="s">
        <v>519</v>
      </c>
      <c r="N214">
        <v>2.1</v>
      </c>
      <c r="O214">
        <v>4.7</v>
      </c>
      <c r="P214">
        <v>7.4</v>
      </c>
      <c r="Q214">
        <v>9.8000000000000007</v>
      </c>
      <c r="R214">
        <v>12.4</v>
      </c>
      <c r="S214">
        <v>15</v>
      </c>
      <c r="T214">
        <v>15.2</v>
      </c>
      <c r="U214">
        <v>20.2</v>
      </c>
      <c r="V214">
        <v>22.9</v>
      </c>
      <c r="W214">
        <v>25.5</v>
      </c>
      <c r="X214">
        <v>52.3</v>
      </c>
      <c r="Y214">
        <v>52</v>
      </c>
      <c r="Z214">
        <v>51.8</v>
      </c>
      <c r="AA214">
        <v>51.5</v>
      </c>
      <c r="AB214">
        <v>51.4</v>
      </c>
      <c r="AC214">
        <v>51.2</v>
      </c>
      <c r="AD214">
        <v>51.1</v>
      </c>
      <c r="AE214">
        <v>52.1</v>
      </c>
      <c r="AF214">
        <v>50.7</v>
      </c>
      <c r="AG214">
        <v>49.2</v>
      </c>
      <c r="AH214">
        <v>49.9</v>
      </c>
      <c r="AI214">
        <v>49.3</v>
      </c>
      <c r="AJ214">
        <v>48.9</v>
      </c>
      <c r="AK214">
        <v>50.3</v>
      </c>
      <c r="AL214">
        <v>54.4</v>
      </c>
    </row>
    <row r="215" spans="1:38" x14ac:dyDescent="0.3">
      <c r="A215" t="s">
        <v>294</v>
      </c>
      <c r="B215" t="s">
        <v>415</v>
      </c>
      <c r="C215" t="s">
        <v>519</v>
      </c>
      <c r="D215">
        <v>100</v>
      </c>
      <c r="E215">
        <v>100</v>
      </c>
      <c r="F215">
        <v>100</v>
      </c>
      <c r="G215">
        <v>100</v>
      </c>
      <c r="H215">
        <v>100</v>
      </c>
      <c r="I215">
        <v>100</v>
      </c>
      <c r="J215">
        <v>100</v>
      </c>
      <c r="K215">
        <v>100</v>
      </c>
      <c r="L215">
        <v>100</v>
      </c>
      <c r="M215">
        <v>100</v>
      </c>
      <c r="N215">
        <v>99.9</v>
      </c>
      <c r="O215">
        <v>99.8</v>
      </c>
      <c r="P215">
        <v>100</v>
      </c>
      <c r="Q215">
        <v>99.7</v>
      </c>
      <c r="R215">
        <v>99.6</v>
      </c>
      <c r="S215">
        <v>99.7</v>
      </c>
      <c r="T215">
        <v>99.6</v>
      </c>
      <c r="U215">
        <v>99.6</v>
      </c>
      <c r="V215">
        <v>99.6</v>
      </c>
      <c r="W215">
        <v>99.6</v>
      </c>
      <c r="X215">
        <v>99.7</v>
      </c>
      <c r="Y215">
        <v>99.7</v>
      </c>
      <c r="Z215">
        <v>99.8</v>
      </c>
      <c r="AA215">
        <v>99.9</v>
      </c>
      <c r="AB215">
        <v>99.7</v>
      </c>
      <c r="AC215">
        <v>99.9</v>
      </c>
      <c r="AD215">
        <v>99.9</v>
      </c>
      <c r="AE215">
        <v>100</v>
      </c>
      <c r="AF215">
        <v>100</v>
      </c>
      <c r="AG215">
        <v>99.8</v>
      </c>
      <c r="AH215">
        <v>100</v>
      </c>
      <c r="AI215">
        <v>100</v>
      </c>
      <c r="AJ215">
        <v>100</v>
      </c>
      <c r="AK215">
        <v>100</v>
      </c>
      <c r="AL215">
        <v>100</v>
      </c>
    </row>
    <row r="216" spans="1:38" x14ac:dyDescent="0.3">
      <c r="A216" t="s">
        <v>57</v>
      </c>
      <c r="B216" t="s">
        <v>430</v>
      </c>
      <c r="C216" t="s">
        <v>519</v>
      </c>
      <c r="J216">
        <v>28.500551472465155</v>
      </c>
      <c r="K216">
        <v>28.352846515667462</v>
      </c>
      <c r="L216">
        <v>28.557784427846144</v>
      </c>
      <c r="M216">
        <v>30.138700253414935</v>
      </c>
      <c r="N216">
        <v>25.697121066385737</v>
      </c>
      <c r="O216">
        <v>26.156171500891691</v>
      </c>
      <c r="P216">
        <v>27.331647793097872</v>
      </c>
      <c r="Q216">
        <v>29.589073997885357</v>
      </c>
      <c r="R216">
        <v>29.365305819625696</v>
      </c>
      <c r="S216">
        <v>29.344509101233253</v>
      </c>
      <c r="T216">
        <v>31.196220881801018</v>
      </c>
      <c r="U216">
        <v>32.512764543462026</v>
      </c>
      <c r="V216">
        <v>32.397073534555517</v>
      </c>
      <c r="W216">
        <v>32.619488622191405</v>
      </c>
      <c r="X216">
        <v>33.330009388202697</v>
      </c>
      <c r="Y216">
        <v>35.89318247587255</v>
      </c>
      <c r="Z216">
        <v>36.769425653923967</v>
      </c>
      <c r="AA216">
        <v>38.024959206495204</v>
      </c>
      <c r="AB216">
        <v>38.344891079673388</v>
      </c>
      <c r="AC216">
        <v>39.190929810200743</v>
      </c>
      <c r="AD216">
        <v>43.823254610196088</v>
      </c>
      <c r="AE216">
        <v>43.754954769595649</v>
      </c>
      <c r="AF216">
        <v>46.40941391213078</v>
      </c>
      <c r="AG216">
        <v>47.18896117531056</v>
      </c>
      <c r="AH216">
        <v>48.536508403436358</v>
      </c>
      <c r="AI216">
        <v>50.648589918323729</v>
      </c>
      <c r="AJ216">
        <v>51.503097527924062</v>
      </c>
      <c r="AK216">
        <v>53.246320469013391</v>
      </c>
      <c r="AL216">
        <v>55.10613075225276</v>
      </c>
    </row>
    <row r="217" spans="1:38" x14ac:dyDescent="0.3">
      <c r="A217" t="s">
        <v>261</v>
      </c>
      <c r="B217" t="s">
        <v>59</v>
      </c>
      <c r="C217" t="s">
        <v>519</v>
      </c>
      <c r="U217">
        <v>0.8</v>
      </c>
      <c r="V217">
        <v>1.3</v>
      </c>
      <c r="W217">
        <v>3</v>
      </c>
      <c r="X217">
        <v>1.5</v>
      </c>
      <c r="Y217">
        <v>2.8</v>
      </c>
      <c r="Z217">
        <v>3.3</v>
      </c>
      <c r="AA217">
        <v>3.8</v>
      </c>
      <c r="AB217">
        <v>4.3</v>
      </c>
      <c r="AC217">
        <v>4.8</v>
      </c>
      <c r="AD217">
        <v>5.3</v>
      </c>
      <c r="AE217">
        <v>4.2</v>
      </c>
      <c r="AF217">
        <v>6.3</v>
      </c>
      <c r="AG217">
        <v>6.8</v>
      </c>
      <c r="AH217">
        <v>7.3</v>
      </c>
      <c r="AI217">
        <v>7.7</v>
      </c>
      <c r="AJ217">
        <v>8.4</v>
      </c>
      <c r="AK217">
        <v>5.4</v>
      </c>
      <c r="AL217">
        <v>5.4</v>
      </c>
    </row>
    <row r="218" spans="1:38" x14ac:dyDescent="0.3">
      <c r="A218" t="s">
        <v>286</v>
      </c>
      <c r="B218" t="s">
        <v>170</v>
      </c>
      <c r="C218" t="s">
        <v>519</v>
      </c>
      <c r="J218">
        <v>28.512384382876753</v>
      </c>
      <c r="K218">
        <v>28.363633683406096</v>
      </c>
      <c r="L218">
        <v>28.568446021517754</v>
      </c>
      <c r="M218">
        <v>30.148932101516991</v>
      </c>
      <c r="N218">
        <v>25.705396956483831</v>
      </c>
      <c r="O218">
        <v>26.164218685280275</v>
      </c>
      <c r="P218">
        <v>27.339773137913795</v>
      </c>
      <c r="Q218">
        <v>29.596501581078094</v>
      </c>
      <c r="R218">
        <v>29.372566273936652</v>
      </c>
      <c r="S218">
        <v>29.351643304823245</v>
      </c>
      <c r="T218">
        <v>31.203487771529282</v>
      </c>
      <c r="U218">
        <v>32.519333428516937</v>
      </c>
      <c r="V218">
        <v>32.403660599882784</v>
      </c>
      <c r="W218">
        <v>32.625929202056739</v>
      </c>
      <c r="X218">
        <v>33.336400880591917</v>
      </c>
      <c r="Y218">
        <v>35.899100606575104</v>
      </c>
      <c r="Z218">
        <v>36.775178115882831</v>
      </c>
      <c r="AA218">
        <v>38.030516471949262</v>
      </c>
      <c r="AB218">
        <v>38.350538363573477</v>
      </c>
      <c r="AC218">
        <v>39.19647382064133</v>
      </c>
      <c r="AD218">
        <v>43.82830955588684</v>
      </c>
      <c r="AE218">
        <v>43.759945187564753</v>
      </c>
      <c r="AF218">
        <v>46.41408894728248</v>
      </c>
      <c r="AG218">
        <v>47.193489767594073</v>
      </c>
      <c r="AH218">
        <v>48.540846261286767</v>
      </c>
      <c r="AI218">
        <v>50.652678597114232</v>
      </c>
      <c r="AJ218">
        <v>51.507831098251465</v>
      </c>
      <c r="AK218">
        <v>53.2507689805499</v>
      </c>
      <c r="AL218">
        <v>55.110354255900035</v>
      </c>
    </row>
    <row r="219" spans="1:38" x14ac:dyDescent="0.3">
      <c r="A219" t="s">
        <v>42</v>
      </c>
      <c r="B219" t="s">
        <v>176</v>
      </c>
      <c r="C219" t="s">
        <v>519</v>
      </c>
      <c r="M219">
        <v>83.675511249644856</v>
      </c>
      <c r="N219">
        <v>73.402090146408312</v>
      </c>
      <c r="O219">
        <v>75.154568090637312</v>
      </c>
      <c r="P219">
        <v>74.968024725598795</v>
      </c>
      <c r="Q219">
        <v>75.791653960227464</v>
      </c>
      <c r="R219">
        <v>76.849692522196449</v>
      </c>
      <c r="S219">
        <v>77.678367625405116</v>
      </c>
      <c r="T219">
        <v>78.100677141942171</v>
      </c>
      <c r="U219">
        <v>79.580734925164762</v>
      </c>
      <c r="V219">
        <v>80.595068922754919</v>
      </c>
      <c r="W219">
        <v>80.422982642257949</v>
      </c>
      <c r="X219">
        <v>82.199729744184978</v>
      </c>
      <c r="Y219">
        <v>83.906240710336021</v>
      </c>
      <c r="Z219">
        <v>84.824331062517601</v>
      </c>
      <c r="AA219">
        <v>85.270480845135552</v>
      </c>
      <c r="AB219">
        <v>86.773563783109665</v>
      </c>
      <c r="AC219">
        <v>87.681392887940191</v>
      </c>
      <c r="AD219">
        <v>88.848671335750083</v>
      </c>
      <c r="AE219">
        <v>90.15502785348032</v>
      </c>
      <c r="AF219">
        <v>90.964733543223147</v>
      </c>
      <c r="AG219">
        <v>92.091922279073827</v>
      </c>
      <c r="AH219">
        <v>93.119594583178426</v>
      </c>
      <c r="AI219">
        <v>93.74681793733852</v>
      </c>
      <c r="AJ219">
        <v>93.826993722258976</v>
      </c>
      <c r="AK219">
        <v>94.79474834885589</v>
      </c>
      <c r="AL219">
        <v>94.570484606236548</v>
      </c>
    </row>
    <row r="220" spans="1:38" x14ac:dyDescent="0.3">
      <c r="A220" t="s">
        <v>231</v>
      </c>
      <c r="B220" t="s">
        <v>418</v>
      </c>
      <c r="C220" t="s">
        <v>519</v>
      </c>
      <c r="N220">
        <v>52.9</v>
      </c>
      <c r="O220">
        <v>51.5</v>
      </c>
      <c r="P220">
        <v>52.5</v>
      </c>
      <c r="Q220">
        <v>53.6</v>
      </c>
      <c r="R220">
        <v>54.7</v>
      </c>
      <c r="S220">
        <v>55.8</v>
      </c>
      <c r="T220">
        <v>56.9</v>
      </c>
      <c r="U220">
        <v>58</v>
      </c>
      <c r="V220">
        <v>59.1</v>
      </c>
      <c r="W220">
        <v>56.9</v>
      </c>
      <c r="X220">
        <v>61.4</v>
      </c>
      <c r="Y220">
        <v>62.6</v>
      </c>
      <c r="Z220">
        <v>57.9</v>
      </c>
      <c r="AA220">
        <v>65</v>
      </c>
      <c r="AB220">
        <v>68.599999999999994</v>
      </c>
      <c r="AC220">
        <v>67.3</v>
      </c>
      <c r="AD220">
        <v>69.400000000000006</v>
      </c>
      <c r="AE220">
        <v>74.3</v>
      </c>
      <c r="AF220">
        <v>71</v>
      </c>
      <c r="AG220">
        <v>75.099999999999994</v>
      </c>
      <c r="AH220">
        <v>76.8</v>
      </c>
      <c r="AI220">
        <v>78.5</v>
      </c>
      <c r="AJ220">
        <v>78</v>
      </c>
      <c r="AK220">
        <v>81.3</v>
      </c>
      <c r="AL220">
        <v>77.7</v>
      </c>
    </row>
    <row r="221" spans="1:38" x14ac:dyDescent="0.3">
      <c r="A221" t="s">
        <v>482</v>
      </c>
      <c r="B221" t="s">
        <v>61</v>
      </c>
      <c r="C221" t="s">
        <v>519</v>
      </c>
      <c r="M221">
        <v>99.62406</v>
      </c>
      <c r="N221">
        <v>95.4</v>
      </c>
      <c r="O221">
        <v>95.3</v>
      </c>
      <c r="P221">
        <v>95.2</v>
      </c>
      <c r="Q221">
        <v>95.1</v>
      </c>
      <c r="R221">
        <v>95</v>
      </c>
      <c r="S221">
        <v>94.9</v>
      </c>
      <c r="T221">
        <v>91</v>
      </c>
      <c r="U221">
        <v>94.7</v>
      </c>
      <c r="V221">
        <v>94.7</v>
      </c>
      <c r="W221">
        <v>94.6</v>
      </c>
      <c r="X221">
        <v>91.2</v>
      </c>
      <c r="Y221">
        <v>94.6</v>
      </c>
      <c r="Z221">
        <v>94.6</v>
      </c>
      <c r="AA221">
        <v>94.6</v>
      </c>
      <c r="AB221">
        <v>94.6</v>
      </c>
      <c r="AC221">
        <v>95</v>
      </c>
      <c r="AD221">
        <v>95.8</v>
      </c>
      <c r="AE221">
        <v>96.6</v>
      </c>
      <c r="AF221">
        <v>97.4</v>
      </c>
      <c r="AG221">
        <v>97.9</v>
      </c>
      <c r="AH221">
        <v>98.4</v>
      </c>
      <c r="AI221">
        <v>98.8</v>
      </c>
      <c r="AJ221">
        <v>99</v>
      </c>
      <c r="AK221">
        <v>99.6</v>
      </c>
      <c r="AL221">
        <v>99</v>
      </c>
    </row>
    <row r="222" spans="1:38" x14ac:dyDescent="0.3">
      <c r="A222" t="s">
        <v>359</v>
      </c>
      <c r="B222" t="s">
        <v>137</v>
      </c>
      <c r="C222" t="s">
        <v>519</v>
      </c>
      <c r="D222">
        <v>100</v>
      </c>
      <c r="E222">
        <v>100</v>
      </c>
      <c r="F222">
        <v>100</v>
      </c>
      <c r="G222">
        <v>100</v>
      </c>
      <c r="H222">
        <v>100</v>
      </c>
      <c r="I222">
        <v>100</v>
      </c>
      <c r="J222">
        <v>100</v>
      </c>
      <c r="K222">
        <v>100</v>
      </c>
      <c r="L222">
        <v>100</v>
      </c>
      <c r="M222">
        <v>100</v>
      </c>
      <c r="N222">
        <v>100</v>
      </c>
      <c r="O222">
        <v>100</v>
      </c>
      <c r="P222">
        <v>100</v>
      </c>
      <c r="Q222">
        <v>100</v>
      </c>
      <c r="R222">
        <v>100</v>
      </c>
      <c r="S222">
        <v>99.9</v>
      </c>
      <c r="T222">
        <v>99.9</v>
      </c>
      <c r="U222">
        <v>100</v>
      </c>
      <c r="V222">
        <v>100</v>
      </c>
      <c r="W222">
        <v>100</v>
      </c>
      <c r="X222">
        <v>100</v>
      </c>
      <c r="Y222">
        <v>100</v>
      </c>
      <c r="Z222">
        <v>100</v>
      </c>
      <c r="AA222">
        <v>100</v>
      </c>
      <c r="AB222">
        <v>100</v>
      </c>
      <c r="AC222">
        <v>100</v>
      </c>
      <c r="AD222">
        <v>100</v>
      </c>
      <c r="AE222">
        <v>100</v>
      </c>
      <c r="AF222">
        <v>100</v>
      </c>
      <c r="AG222">
        <v>100</v>
      </c>
      <c r="AH222">
        <v>100</v>
      </c>
      <c r="AI222">
        <v>100</v>
      </c>
      <c r="AJ222">
        <v>100</v>
      </c>
      <c r="AK222">
        <v>100</v>
      </c>
      <c r="AL222">
        <v>100</v>
      </c>
    </row>
    <row r="223" spans="1:38" x14ac:dyDescent="0.3">
      <c r="A223" t="s">
        <v>350</v>
      </c>
      <c r="B223" t="s">
        <v>307</v>
      </c>
      <c r="C223" t="s">
        <v>519</v>
      </c>
      <c r="D223">
        <v>100</v>
      </c>
      <c r="E223">
        <v>100</v>
      </c>
      <c r="F223">
        <v>100</v>
      </c>
      <c r="G223">
        <v>100</v>
      </c>
      <c r="H223">
        <v>100</v>
      </c>
      <c r="I223">
        <v>100</v>
      </c>
      <c r="J223">
        <v>100</v>
      </c>
      <c r="K223">
        <v>100</v>
      </c>
      <c r="L223">
        <v>100</v>
      </c>
      <c r="M223">
        <v>100</v>
      </c>
      <c r="N223">
        <v>100</v>
      </c>
      <c r="O223">
        <v>100</v>
      </c>
      <c r="P223">
        <v>100</v>
      </c>
      <c r="Q223">
        <v>100</v>
      </c>
      <c r="R223">
        <v>100</v>
      </c>
      <c r="S223">
        <v>100</v>
      </c>
      <c r="T223">
        <v>100</v>
      </c>
      <c r="U223">
        <v>100</v>
      </c>
      <c r="V223">
        <v>100</v>
      </c>
      <c r="W223">
        <v>100</v>
      </c>
      <c r="X223">
        <v>100</v>
      </c>
      <c r="Y223">
        <v>100</v>
      </c>
      <c r="Z223">
        <v>100</v>
      </c>
      <c r="AA223">
        <v>100</v>
      </c>
      <c r="AB223">
        <v>100</v>
      </c>
      <c r="AC223">
        <v>100</v>
      </c>
      <c r="AD223">
        <v>100</v>
      </c>
      <c r="AE223">
        <v>100</v>
      </c>
      <c r="AF223">
        <v>100</v>
      </c>
      <c r="AG223">
        <v>100</v>
      </c>
      <c r="AH223">
        <v>100</v>
      </c>
      <c r="AI223">
        <v>100</v>
      </c>
      <c r="AJ223">
        <v>100</v>
      </c>
      <c r="AK223">
        <v>100</v>
      </c>
      <c r="AL223">
        <v>100</v>
      </c>
    </row>
    <row r="224" spans="1:38" x14ac:dyDescent="0.3">
      <c r="A224" t="s">
        <v>66</v>
      </c>
      <c r="B224" t="s">
        <v>264</v>
      </c>
      <c r="C224" t="s">
        <v>519</v>
      </c>
      <c r="D224">
        <v>100</v>
      </c>
      <c r="E224">
        <v>100</v>
      </c>
      <c r="F224">
        <v>100</v>
      </c>
      <c r="G224">
        <v>100</v>
      </c>
      <c r="H224">
        <v>100</v>
      </c>
      <c r="I224">
        <v>100</v>
      </c>
      <c r="J224">
        <v>100</v>
      </c>
      <c r="K224">
        <v>100</v>
      </c>
      <c r="L224">
        <v>100</v>
      </c>
      <c r="M224">
        <v>100</v>
      </c>
      <c r="N224">
        <v>100</v>
      </c>
      <c r="O224">
        <v>100</v>
      </c>
      <c r="P224">
        <v>100</v>
      </c>
      <c r="Q224">
        <v>100</v>
      </c>
      <c r="R224">
        <v>100</v>
      </c>
      <c r="S224">
        <v>100</v>
      </c>
      <c r="T224">
        <v>100</v>
      </c>
      <c r="U224">
        <v>100</v>
      </c>
      <c r="V224">
        <v>100</v>
      </c>
      <c r="W224">
        <v>100</v>
      </c>
      <c r="X224">
        <v>100</v>
      </c>
      <c r="Y224">
        <v>100</v>
      </c>
      <c r="Z224">
        <v>100</v>
      </c>
      <c r="AA224">
        <v>100</v>
      </c>
      <c r="AB224">
        <v>100</v>
      </c>
      <c r="AC224">
        <v>100</v>
      </c>
      <c r="AD224">
        <v>100</v>
      </c>
      <c r="AE224">
        <v>100</v>
      </c>
      <c r="AF224">
        <v>100</v>
      </c>
      <c r="AG224">
        <v>100</v>
      </c>
      <c r="AH224">
        <v>100</v>
      </c>
      <c r="AI224">
        <v>100</v>
      </c>
      <c r="AJ224">
        <v>100</v>
      </c>
      <c r="AK224">
        <v>100</v>
      </c>
      <c r="AL224">
        <v>100</v>
      </c>
    </row>
    <row r="225" spans="1:38" x14ac:dyDescent="0.3">
      <c r="A225" t="s">
        <v>623</v>
      </c>
      <c r="B225" t="s">
        <v>125</v>
      </c>
      <c r="C225" t="s">
        <v>519</v>
      </c>
      <c r="N225">
        <v>20.399999999999999</v>
      </c>
      <c r="O225">
        <v>26.9</v>
      </c>
      <c r="P225">
        <v>25.9</v>
      </c>
      <c r="Q225">
        <v>28.7</v>
      </c>
      <c r="R225">
        <v>31.4</v>
      </c>
      <c r="S225">
        <v>34.200000000000003</v>
      </c>
      <c r="T225">
        <v>35.200000000000003</v>
      </c>
      <c r="U225">
        <v>39.799999999999997</v>
      </c>
      <c r="V225">
        <v>42.6</v>
      </c>
      <c r="W225">
        <v>38.6</v>
      </c>
      <c r="X225">
        <v>45.6</v>
      </c>
      <c r="Y225">
        <v>51.2</v>
      </c>
      <c r="Z225">
        <v>54.3</v>
      </c>
      <c r="AA225">
        <v>57.5</v>
      </c>
      <c r="AB225">
        <v>65</v>
      </c>
      <c r="AC225">
        <v>64.099999999999994</v>
      </c>
      <c r="AD225">
        <v>63.4</v>
      </c>
      <c r="AE225">
        <v>73.5</v>
      </c>
      <c r="AF225">
        <v>74</v>
      </c>
      <c r="AG225">
        <v>77</v>
      </c>
      <c r="AH225">
        <v>80</v>
      </c>
      <c r="AI225">
        <v>82.9</v>
      </c>
      <c r="AJ225">
        <v>82.3</v>
      </c>
      <c r="AK225">
        <v>86.4</v>
      </c>
      <c r="AL225">
        <v>89.3</v>
      </c>
    </row>
    <row r="226" spans="1:38" x14ac:dyDescent="0.3">
      <c r="A226" t="s">
        <v>341</v>
      </c>
      <c r="B226" t="s">
        <v>388</v>
      </c>
      <c r="C226" t="s">
        <v>519</v>
      </c>
      <c r="D226">
        <v>100</v>
      </c>
      <c r="E226">
        <v>100</v>
      </c>
      <c r="F226">
        <v>100</v>
      </c>
      <c r="G226">
        <v>100</v>
      </c>
      <c r="H226">
        <v>100</v>
      </c>
      <c r="I226">
        <v>100</v>
      </c>
      <c r="J226">
        <v>100</v>
      </c>
      <c r="K226">
        <v>100</v>
      </c>
      <c r="L226">
        <v>100</v>
      </c>
      <c r="M226">
        <v>100</v>
      </c>
      <c r="N226">
        <v>100</v>
      </c>
      <c r="O226">
        <v>99.9</v>
      </c>
      <c r="P226">
        <v>99.9</v>
      </c>
      <c r="Q226">
        <v>99.8</v>
      </c>
      <c r="R226">
        <v>99.8</v>
      </c>
      <c r="S226">
        <v>99.7</v>
      </c>
      <c r="T226">
        <v>99.7</v>
      </c>
      <c r="U226">
        <v>99.7</v>
      </c>
      <c r="V226">
        <v>99.7</v>
      </c>
      <c r="W226">
        <v>99.7</v>
      </c>
      <c r="X226">
        <v>100</v>
      </c>
      <c r="Y226">
        <v>100</v>
      </c>
      <c r="Z226">
        <v>100</v>
      </c>
      <c r="AA226">
        <v>100</v>
      </c>
      <c r="AB226">
        <v>100</v>
      </c>
      <c r="AC226">
        <v>100</v>
      </c>
      <c r="AD226">
        <v>100</v>
      </c>
      <c r="AE226">
        <v>100</v>
      </c>
      <c r="AF226">
        <v>100</v>
      </c>
      <c r="AG226">
        <v>100</v>
      </c>
      <c r="AH226">
        <v>100</v>
      </c>
      <c r="AI226">
        <v>100</v>
      </c>
      <c r="AJ226">
        <v>100</v>
      </c>
      <c r="AK226">
        <v>100</v>
      </c>
      <c r="AL226">
        <v>100</v>
      </c>
    </row>
    <row r="227" spans="1:38" x14ac:dyDescent="0.3">
      <c r="A227" t="s">
        <v>474</v>
      </c>
      <c r="B227" t="s">
        <v>140</v>
      </c>
      <c r="C227" t="s">
        <v>519</v>
      </c>
      <c r="H227">
        <v>90</v>
      </c>
      <c r="I227">
        <v>92.173652648925795</v>
      </c>
      <c r="J227">
        <v>92.552490234375</v>
      </c>
      <c r="K227">
        <v>92</v>
      </c>
      <c r="L227">
        <v>93.299293518066406</v>
      </c>
      <c r="M227">
        <v>93.665809631347699</v>
      </c>
      <c r="N227">
        <v>94.1</v>
      </c>
      <c r="O227">
        <v>94.4</v>
      </c>
      <c r="P227">
        <v>96.1</v>
      </c>
      <c r="Q227">
        <v>94.9</v>
      </c>
      <c r="R227">
        <v>95.2</v>
      </c>
      <c r="S227">
        <v>95.5</v>
      </c>
      <c r="T227">
        <v>99</v>
      </c>
      <c r="U227">
        <v>96.1</v>
      </c>
      <c r="V227">
        <v>96.5</v>
      </c>
      <c r="W227">
        <v>96.8</v>
      </c>
      <c r="X227">
        <v>97</v>
      </c>
      <c r="Y227">
        <v>98.1</v>
      </c>
      <c r="Z227">
        <v>98.3</v>
      </c>
      <c r="AA227">
        <v>98</v>
      </c>
      <c r="AB227">
        <v>100</v>
      </c>
      <c r="AC227">
        <v>100</v>
      </c>
      <c r="AD227">
        <v>100</v>
      </c>
      <c r="AE227">
        <v>100</v>
      </c>
      <c r="AF227">
        <v>100</v>
      </c>
      <c r="AG227">
        <v>100</v>
      </c>
      <c r="AH227">
        <v>100</v>
      </c>
      <c r="AI227">
        <v>100</v>
      </c>
      <c r="AJ227">
        <v>100</v>
      </c>
      <c r="AK227">
        <v>100</v>
      </c>
      <c r="AL227">
        <v>100</v>
      </c>
    </row>
    <row r="228" spans="1:38" x14ac:dyDescent="0.3">
      <c r="A228" t="s">
        <v>163</v>
      </c>
      <c r="B228" t="s">
        <v>199</v>
      </c>
      <c r="C228" t="s">
        <v>519</v>
      </c>
      <c r="N228">
        <v>93.4</v>
      </c>
      <c r="O228">
        <v>93.1</v>
      </c>
      <c r="P228">
        <v>86.6</v>
      </c>
      <c r="Q228">
        <v>92.6</v>
      </c>
      <c r="R228">
        <v>92.3</v>
      </c>
      <c r="S228">
        <v>92</v>
      </c>
      <c r="T228">
        <v>99.5</v>
      </c>
      <c r="U228">
        <v>91.5</v>
      </c>
      <c r="V228">
        <v>91.3</v>
      </c>
      <c r="W228">
        <v>91.1</v>
      </c>
      <c r="X228">
        <v>92.7</v>
      </c>
      <c r="Y228">
        <v>91.5</v>
      </c>
      <c r="Z228">
        <v>90.7</v>
      </c>
      <c r="AA228">
        <v>90.4</v>
      </c>
      <c r="AB228">
        <v>90.2</v>
      </c>
      <c r="AC228">
        <v>90</v>
      </c>
      <c r="AD228">
        <v>89.8</v>
      </c>
      <c r="AE228">
        <v>89.6</v>
      </c>
      <c r="AF228">
        <v>86</v>
      </c>
      <c r="AG228">
        <v>89.2</v>
      </c>
      <c r="AH228">
        <v>89</v>
      </c>
      <c r="AI228">
        <v>88.8</v>
      </c>
      <c r="AJ228">
        <v>89</v>
      </c>
      <c r="AK228">
        <v>88.4</v>
      </c>
      <c r="AL228">
        <v>89.3</v>
      </c>
    </row>
    <row r="229" spans="1:38" x14ac:dyDescent="0.3">
      <c r="A229" t="s">
        <v>113</v>
      </c>
      <c r="B229" t="s">
        <v>209</v>
      </c>
      <c r="C229" t="s">
        <v>519</v>
      </c>
      <c r="D229">
        <v>88.7</v>
      </c>
      <c r="E229">
        <v>91.053909301757798</v>
      </c>
      <c r="F229">
        <v>91.439117431640597</v>
      </c>
      <c r="G229">
        <v>91.823646545410199</v>
      </c>
      <c r="H229">
        <v>92.206817626953097</v>
      </c>
      <c r="I229">
        <v>92.587944030761705</v>
      </c>
      <c r="J229">
        <v>92.966346740722699</v>
      </c>
      <c r="K229">
        <v>93.341361999511705</v>
      </c>
      <c r="L229">
        <v>93.712287902832003</v>
      </c>
      <c r="M229">
        <v>94.078376770019503</v>
      </c>
      <c r="N229">
        <v>95.6</v>
      </c>
      <c r="O229">
        <v>94.9</v>
      </c>
      <c r="P229">
        <v>95.2</v>
      </c>
      <c r="Q229">
        <v>95.4</v>
      </c>
      <c r="R229">
        <v>95.7</v>
      </c>
      <c r="S229">
        <v>96</v>
      </c>
      <c r="T229">
        <v>96.2</v>
      </c>
      <c r="U229">
        <v>96.6</v>
      </c>
      <c r="V229">
        <v>96.9</v>
      </c>
      <c r="W229">
        <v>100</v>
      </c>
      <c r="X229">
        <v>100</v>
      </c>
      <c r="Y229">
        <v>100</v>
      </c>
      <c r="Z229">
        <v>93.1</v>
      </c>
      <c r="AA229">
        <v>100</v>
      </c>
      <c r="AB229">
        <v>100</v>
      </c>
      <c r="AC229">
        <v>100</v>
      </c>
      <c r="AD229">
        <v>100</v>
      </c>
      <c r="AE229">
        <v>100</v>
      </c>
      <c r="AF229">
        <v>100</v>
      </c>
      <c r="AG229">
        <v>100</v>
      </c>
      <c r="AH229">
        <v>99.4</v>
      </c>
      <c r="AI229">
        <v>100</v>
      </c>
      <c r="AJ229">
        <v>99.9</v>
      </c>
      <c r="AK229">
        <v>100</v>
      </c>
      <c r="AL229">
        <v>100</v>
      </c>
    </row>
    <row r="230" spans="1:38" x14ac:dyDescent="0.3">
      <c r="A230" t="s">
        <v>577</v>
      </c>
      <c r="B230" t="s">
        <v>551</v>
      </c>
      <c r="C230" t="s">
        <v>519</v>
      </c>
      <c r="K230">
        <v>2.2999999999999998</v>
      </c>
      <c r="L230">
        <v>2.4203872680664098</v>
      </c>
      <c r="M230">
        <v>2.80621337890625</v>
      </c>
      <c r="N230">
        <v>3.1</v>
      </c>
      <c r="O230">
        <v>3.4</v>
      </c>
      <c r="P230">
        <v>3.8</v>
      </c>
      <c r="Q230">
        <v>4.0999999999999996</v>
      </c>
      <c r="R230">
        <v>3.5</v>
      </c>
      <c r="S230">
        <v>4.8</v>
      </c>
      <c r="T230">
        <v>5.0999999999999996</v>
      </c>
      <c r="U230">
        <v>5.5</v>
      </c>
      <c r="V230">
        <v>5.9</v>
      </c>
      <c r="W230">
        <v>6.3</v>
      </c>
      <c r="X230">
        <v>6.4</v>
      </c>
      <c r="Y230">
        <v>9</v>
      </c>
      <c r="Z230">
        <v>7.8</v>
      </c>
      <c r="AA230">
        <v>8.1</v>
      </c>
      <c r="AB230">
        <v>8.4</v>
      </c>
      <c r="AC230">
        <v>7.7</v>
      </c>
      <c r="AD230">
        <v>9.1999999999999993</v>
      </c>
      <c r="AE230">
        <v>10.9</v>
      </c>
      <c r="AF230">
        <v>10.1</v>
      </c>
      <c r="AG230">
        <v>8.4</v>
      </c>
      <c r="AH230">
        <v>10.9</v>
      </c>
      <c r="AI230">
        <v>11.3</v>
      </c>
      <c r="AJ230">
        <v>11.7</v>
      </c>
      <c r="AK230">
        <v>12</v>
      </c>
      <c r="AL230">
        <v>13.4</v>
      </c>
    </row>
    <row r="231" spans="1:38" x14ac:dyDescent="0.3">
      <c r="A231" t="s">
        <v>676</v>
      </c>
      <c r="B231" t="s">
        <v>351</v>
      </c>
      <c r="C231" t="s">
        <v>519</v>
      </c>
      <c r="N231">
        <v>91.138261787749585</v>
      </c>
      <c r="O231">
        <v>91.679915787718798</v>
      </c>
      <c r="P231">
        <v>92.153373216405754</v>
      </c>
      <c r="Q231">
        <v>92.378144878328129</v>
      </c>
      <c r="R231">
        <v>93.266150585721775</v>
      </c>
      <c r="S231">
        <v>92.845397374282769</v>
      </c>
      <c r="T231">
        <v>94.041526003591244</v>
      </c>
      <c r="U231">
        <v>94.051463551072217</v>
      </c>
      <c r="V231">
        <v>94.671992046207365</v>
      </c>
      <c r="W231">
        <v>95.307852373853123</v>
      </c>
      <c r="X231">
        <v>95.898601883302973</v>
      </c>
      <c r="Y231">
        <v>96.401889239182722</v>
      </c>
      <c r="Z231">
        <v>96.586590871601572</v>
      </c>
      <c r="AA231">
        <v>96.858312626442526</v>
      </c>
      <c r="AB231">
        <v>97.0127423122849</v>
      </c>
      <c r="AC231">
        <v>97.335047010317282</v>
      </c>
      <c r="AD231">
        <v>97.402639237346634</v>
      </c>
      <c r="AE231">
        <v>98.112189372733596</v>
      </c>
      <c r="AF231">
        <v>98.051229750632032</v>
      </c>
      <c r="AG231">
        <v>98.25172911294618</v>
      </c>
      <c r="AH231">
        <v>98.152171249912129</v>
      </c>
      <c r="AI231">
        <v>98.525937799981762</v>
      </c>
      <c r="AJ231">
        <v>98.571060181420151</v>
      </c>
      <c r="AK231">
        <v>98.747442406960772</v>
      </c>
      <c r="AL231">
        <v>98.873087605329204</v>
      </c>
    </row>
    <row r="232" spans="1:38" x14ac:dyDescent="0.3">
      <c r="A232" t="s">
        <v>459</v>
      </c>
      <c r="B232" t="s">
        <v>483</v>
      </c>
      <c r="C232" t="s">
        <v>519</v>
      </c>
      <c r="D232">
        <v>100</v>
      </c>
      <c r="E232">
        <v>100</v>
      </c>
      <c r="F232">
        <v>100</v>
      </c>
      <c r="G232">
        <v>100</v>
      </c>
      <c r="H232">
        <v>100</v>
      </c>
      <c r="I232">
        <v>99.994828331292609</v>
      </c>
      <c r="J232">
        <v>99.934651037418305</v>
      </c>
      <c r="K232">
        <v>99.92169765757636</v>
      </c>
      <c r="L232">
        <v>99.926364921331754</v>
      </c>
      <c r="M232">
        <v>99.715835337118079</v>
      </c>
      <c r="N232">
        <v>98.254727590228299</v>
      </c>
      <c r="O232">
        <v>98.350520889939958</v>
      </c>
      <c r="P232">
        <v>98.423827385271252</v>
      </c>
      <c r="Q232">
        <v>98.438063287488006</v>
      </c>
      <c r="R232">
        <v>98.486641163599003</v>
      </c>
      <c r="S232">
        <v>98.568287149558145</v>
      </c>
      <c r="T232">
        <v>98.608716124861701</v>
      </c>
      <c r="U232">
        <v>98.724690618173867</v>
      </c>
      <c r="V232">
        <v>98.813220007856572</v>
      </c>
      <c r="W232">
        <v>98.927523192562703</v>
      </c>
      <c r="X232">
        <v>99.328704961902829</v>
      </c>
      <c r="Y232">
        <v>99.326924487923577</v>
      </c>
      <c r="Z232">
        <v>99.654676952483797</v>
      </c>
      <c r="AA232">
        <v>99.697883300902291</v>
      </c>
      <c r="AB232">
        <v>99.751590323323057</v>
      </c>
      <c r="AC232">
        <v>98.331892546617851</v>
      </c>
      <c r="AD232">
        <v>99.657404076511668</v>
      </c>
      <c r="AE232">
        <v>99.928231696534141</v>
      </c>
      <c r="AF232">
        <v>99.941528994937002</v>
      </c>
      <c r="AG232">
        <v>99.906919460474057</v>
      </c>
      <c r="AH232">
        <v>99.952066815384924</v>
      </c>
      <c r="AI232">
        <v>99.976387300126888</v>
      </c>
      <c r="AJ232">
        <v>99.995442761977813</v>
      </c>
      <c r="AK232">
        <v>100</v>
      </c>
      <c r="AL232">
        <v>99.997689530059816</v>
      </c>
    </row>
    <row r="233" spans="1:38" x14ac:dyDescent="0.3">
      <c r="A233" t="s">
        <v>236</v>
      </c>
      <c r="B233" t="s">
        <v>360</v>
      </c>
      <c r="C233" t="s">
        <v>519</v>
      </c>
      <c r="L233">
        <v>15.3</v>
      </c>
      <c r="M233">
        <v>16.072999954223601</v>
      </c>
      <c r="N233">
        <v>17</v>
      </c>
      <c r="O233">
        <v>19.600000000000001</v>
      </c>
      <c r="P233">
        <v>21.3</v>
      </c>
      <c r="Q233">
        <v>23</v>
      </c>
      <c r="R233">
        <v>24.8</v>
      </c>
      <c r="S233">
        <v>26.5</v>
      </c>
      <c r="T233">
        <v>27.9</v>
      </c>
      <c r="U233">
        <v>30</v>
      </c>
      <c r="V233">
        <v>31.8</v>
      </c>
      <c r="W233">
        <v>33.700000000000003</v>
      </c>
      <c r="X233">
        <v>30.8</v>
      </c>
      <c r="Y233">
        <v>39.700000000000003</v>
      </c>
      <c r="Z233">
        <v>39.1</v>
      </c>
      <c r="AA233">
        <v>41</v>
      </c>
      <c r="AB233">
        <v>45.7</v>
      </c>
      <c r="AC233">
        <v>44.7</v>
      </c>
      <c r="AD233">
        <v>46.8</v>
      </c>
      <c r="AE233">
        <v>48</v>
      </c>
      <c r="AF233">
        <v>50</v>
      </c>
      <c r="AG233">
        <v>52.5</v>
      </c>
      <c r="AH233">
        <v>54.1</v>
      </c>
      <c r="AI233">
        <v>55.7</v>
      </c>
      <c r="AJ233">
        <v>57.2</v>
      </c>
      <c r="AK233">
        <v>59.2</v>
      </c>
      <c r="AL233">
        <v>61.1</v>
      </c>
    </row>
    <row r="234" spans="1:38" x14ac:dyDescent="0.3">
      <c r="A234" t="s">
        <v>526</v>
      </c>
      <c r="B234" t="s">
        <v>419</v>
      </c>
      <c r="C234" t="s">
        <v>519</v>
      </c>
      <c r="N234">
        <v>82.1</v>
      </c>
      <c r="O234">
        <v>90.4</v>
      </c>
      <c r="P234">
        <v>91</v>
      </c>
      <c r="Q234">
        <v>91.6</v>
      </c>
      <c r="R234">
        <v>92.2</v>
      </c>
      <c r="S234">
        <v>92.8</v>
      </c>
      <c r="T234">
        <v>99.1</v>
      </c>
      <c r="U234">
        <v>94.1</v>
      </c>
      <c r="V234">
        <v>94.8</v>
      </c>
      <c r="W234">
        <v>99</v>
      </c>
      <c r="X234">
        <v>99.7</v>
      </c>
      <c r="Y234">
        <v>99.3</v>
      </c>
      <c r="Z234">
        <v>99.1</v>
      </c>
      <c r="AA234">
        <v>99.4</v>
      </c>
      <c r="AB234">
        <v>99.5</v>
      </c>
      <c r="AC234">
        <v>99.6</v>
      </c>
      <c r="AD234">
        <v>99.9</v>
      </c>
      <c r="AE234">
        <v>99.9</v>
      </c>
      <c r="AF234">
        <v>99.8</v>
      </c>
      <c r="AG234">
        <v>99.9</v>
      </c>
      <c r="AH234">
        <v>100</v>
      </c>
      <c r="AI234">
        <v>100</v>
      </c>
      <c r="AJ234">
        <v>99.9</v>
      </c>
      <c r="AK234">
        <v>100</v>
      </c>
      <c r="AL234">
        <v>100</v>
      </c>
    </row>
    <row r="235" spans="1:38" x14ac:dyDescent="0.3">
      <c r="A235" t="s">
        <v>44</v>
      </c>
      <c r="B235" t="s">
        <v>46</v>
      </c>
      <c r="C235" t="s">
        <v>519</v>
      </c>
      <c r="M235">
        <v>97</v>
      </c>
      <c r="N235">
        <v>98.5</v>
      </c>
      <c r="O235">
        <v>98.6</v>
      </c>
      <c r="P235">
        <v>99</v>
      </c>
      <c r="Q235">
        <v>100</v>
      </c>
      <c r="R235">
        <v>98.5</v>
      </c>
      <c r="S235">
        <v>99.3</v>
      </c>
      <c r="T235">
        <v>98.6</v>
      </c>
      <c r="U235">
        <v>98.6</v>
      </c>
      <c r="V235">
        <v>98.6</v>
      </c>
      <c r="W235">
        <v>99</v>
      </c>
      <c r="X235">
        <v>98.8</v>
      </c>
      <c r="Y235">
        <v>98.9</v>
      </c>
      <c r="Z235">
        <v>99.1</v>
      </c>
      <c r="AA235">
        <v>99</v>
      </c>
      <c r="AB235">
        <v>99.1</v>
      </c>
      <c r="AC235">
        <v>98</v>
      </c>
      <c r="AD235">
        <v>99.3</v>
      </c>
      <c r="AE235">
        <v>99.3</v>
      </c>
      <c r="AF235">
        <v>99.3</v>
      </c>
      <c r="AG235">
        <v>99.4</v>
      </c>
      <c r="AH235">
        <v>99.5</v>
      </c>
      <c r="AI235">
        <v>99.6</v>
      </c>
      <c r="AJ235">
        <v>100</v>
      </c>
      <c r="AK235">
        <v>100</v>
      </c>
      <c r="AL235">
        <v>99.9</v>
      </c>
    </row>
    <row r="236" spans="1:38" x14ac:dyDescent="0.3">
      <c r="A236" t="s">
        <v>494</v>
      </c>
      <c r="B236" t="s">
        <v>242</v>
      </c>
      <c r="C236" t="s">
        <v>519</v>
      </c>
      <c r="N236">
        <v>99.6</v>
      </c>
      <c r="O236">
        <v>99.6</v>
      </c>
      <c r="P236">
        <v>99.6</v>
      </c>
      <c r="Q236">
        <v>99.6</v>
      </c>
      <c r="R236">
        <v>99.5</v>
      </c>
      <c r="S236">
        <v>99.5</v>
      </c>
      <c r="T236">
        <v>99.8</v>
      </c>
      <c r="U236">
        <v>99.6</v>
      </c>
      <c r="V236">
        <v>99.6</v>
      </c>
      <c r="W236">
        <v>99.7</v>
      </c>
      <c r="X236">
        <v>100</v>
      </c>
      <c r="Y236">
        <v>99.8</v>
      </c>
      <c r="Z236">
        <v>99.9</v>
      </c>
      <c r="AA236">
        <v>99.9</v>
      </c>
      <c r="AB236">
        <v>100</v>
      </c>
      <c r="AC236">
        <v>100</v>
      </c>
      <c r="AD236">
        <v>100</v>
      </c>
      <c r="AE236">
        <v>100</v>
      </c>
      <c r="AF236">
        <v>100</v>
      </c>
      <c r="AG236">
        <v>99.9</v>
      </c>
      <c r="AH236">
        <v>100</v>
      </c>
      <c r="AI236">
        <v>100</v>
      </c>
      <c r="AJ236">
        <v>100</v>
      </c>
      <c r="AK236">
        <v>100</v>
      </c>
      <c r="AL236">
        <v>100</v>
      </c>
    </row>
    <row r="237" spans="1:38" x14ac:dyDescent="0.3">
      <c r="A237" t="s">
        <v>133</v>
      </c>
      <c r="B237" t="s">
        <v>579</v>
      </c>
      <c r="C237" t="s">
        <v>519</v>
      </c>
      <c r="F237">
        <v>88.613750811535454</v>
      </c>
      <c r="G237">
        <v>89.231501399026826</v>
      </c>
      <c r="H237">
        <v>90.139056071381034</v>
      </c>
      <c r="I237">
        <v>88.511824931362383</v>
      </c>
      <c r="J237">
        <v>89.476511292900213</v>
      </c>
      <c r="K237">
        <v>89.93608368946424</v>
      </c>
      <c r="L237">
        <v>90.560225253865809</v>
      </c>
      <c r="M237">
        <v>91.176325891029279</v>
      </c>
      <c r="N237">
        <v>91.546502371545174</v>
      </c>
      <c r="O237">
        <v>92.179495111715511</v>
      </c>
      <c r="P237">
        <v>92.528942655773363</v>
      </c>
      <c r="Q237">
        <v>92.594412616212281</v>
      </c>
      <c r="R237">
        <v>93.088820707837087</v>
      </c>
      <c r="S237">
        <v>93.398591975013545</v>
      </c>
      <c r="T237">
        <v>94.156063866424248</v>
      </c>
      <c r="U237">
        <v>94.37673132432289</v>
      </c>
      <c r="V237">
        <v>95.141758863430837</v>
      </c>
      <c r="W237">
        <v>95.345932282185842</v>
      </c>
      <c r="X237">
        <v>95.808286186151747</v>
      </c>
      <c r="Y237">
        <v>96.118224031849493</v>
      </c>
      <c r="Z237">
        <v>96.509245720298793</v>
      </c>
      <c r="AA237">
        <v>96.80917829990868</v>
      </c>
      <c r="AB237">
        <v>97.000551696281107</v>
      </c>
      <c r="AC237">
        <v>97.232392052929271</v>
      </c>
      <c r="AD237">
        <v>97.428089345667473</v>
      </c>
      <c r="AE237">
        <v>97.663340284334552</v>
      </c>
      <c r="AF237">
        <v>97.707884793832307</v>
      </c>
      <c r="AG237">
        <v>97.952202146994068</v>
      </c>
      <c r="AH237">
        <v>98.103668388944655</v>
      </c>
      <c r="AI237">
        <v>98.233808362193827</v>
      </c>
      <c r="AJ237">
        <v>98.544879924217113</v>
      </c>
      <c r="AK237">
        <v>98.385249120483252</v>
      </c>
      <c r="AL237">
        <v>98.000058690695738</v>
      </c>
    </row>
    <row r="238" spans="1:38" x14ac:dyDescent="0.3">
      <c r="A238" t="s">
        <v>638</v>
      </c>
      <c r="B238" t="s">
        <v>262</v>
      </c>
      <c r="C238" t="s">
        <v>519</v>
      </c>
      <c r="N238">
        <v>17.8</v>
      </c>
      <c r="O238">
        <v>25.6</v>
      </c>
      <c r="P238">
        <v>24.1</v>
      </c>
      <c r="Q238">
        <v>27.7</v>
      </c>
      <c r="R238">
        <v>30.4</v>
      </c>
      <c r="S238">
        <v>33.5</v>
      </c>
      <c r="T238">
        <v>36.700000000000003</v>
      </c>
      <c r="U238">
        <v>36.6</v>
      </c>
      <c r="V238">
        <v>43.1</v>
      </c>
      <c r="W238">
        <v>46.3</v>
      </c>
      <c r="X238">
        <v>38</v>
      </c>
      <c r="Y238">
        <v>52.7</v>
      </c>
      <c r="Z238">
        <v>56</v>
      </c>
      <c r="AA238">
        <v>59.2</v>
      </c>
      <c r="AB238">
        <v>62.4</v>
      </c>
      <c r="AC238">
        <v>67.3</v>
      </c>
      <c r="AD238">
        <v>76.5</v>
      </c>
      <c r="AE238">
        <v>79.5</v>
      </c>
      <c r="AF238">
        <v>85.2</v>
      </c>
      <c r="AG238">
        <v>90.6</v>
      </c>
      <c r="AH238">
        <v>96</v>
      </c>
      <c r="AI238">
        <v>100</v>
      </c>
      <c r="AJ238">
        <v>99.7</v>
      </c>
      <c r="AK238">
        <v>100</v>
      </c>
      <c r="AL238">
        <v>94.3</v>
      </c>
    </row>
    <row r="239" spans="1:38" x14ac:dyDescent="0.3">
      <c r="A239" t="s">
        <v>681</v>
      </c>
      <c r="B239" t="s">
        <v>438</v>
      </c>
      <c r="C239" t="s">
        <v>519</v>
      </c>
      <c r="N239">
        <v>81.253667871217445</v>
      </c>
      <c r="O239">
        <v>81.995810773732032</v>
      </c>
      <c r="P239">
        <v>82.326603377968667</v>
      </c>
      <c r="Q239">
        <v>83.35984604837806</v>
      </c>
      <c r="R239">
        <v>83.766697321496366</v>
      </c>
      <c r="S239">
        <v>84.805461089312203</v>
      </c>
      <c r="T239">
        <v>86.622551886190166</v>
      </c>
      <c r="U239">
        <v>86.050268584100706</v>
      </c>
      <c r="V239">
        <v>87.039861749371155</v>
      </c>
      <c r="W239">
        <v>87.722457377650045</v>
      </c>
      <c r="X239">
        <v>89.718636418982044</v>
      </c>
      <c r="Y239">
        <v>89.938989288899378</v>
      </c>
      <c r="Z239">
        <v>91.096375486019198</v>
      </c>
      <c r="AA239">
        <v>92.491762881635552</v>
      </c>
      <c r="AB239">
        <v>93.452457764419222</v>
      </c>
      <c r="AC239">
        <v>92.779910641458756</v>
      </c>
      <c r="AD239">
        <v>94.668858506483573</v>
      </c>
      <c r="AE239">
        <v>95.593813647770958</v>
      </c>
      <c r="AF239">
        <v>94.47157482098622</v>
      </c>
      <c r="AG239">
        <v>95.613545646362439</v>
      </c>
      <c r="AH239">
        <v>95.888856174311684</v>
      </c>
      <c r="AI239">
        <v>96.068126004221838</v>
      </c>
      <c r="AJ239">
        <v>95.451698193549333</v>
      </c>
      <c r="AK239">
        <v>96.057494683709137</v>
      </c>
      <c r="AL239">
        <v>96.437335470858542</v>
      </c>
    </row>
    <row r="240" spans="1:38" x14ac:dyDescent="0.3">
      <c r="A240" t="s">
        <v>613</v>
      </c>
      <c r="B240" t="s">
        <v>593</v>
      </c>
      <c r="C240" t="s">
        <v>519</v>
      </c>
      <c r="H240">
        <v>80</v>
      </c>
      <c r="I240">
        <v>81.788475036621094</v>
      </c>
      <c r="J240">
        <v>82.554367065429702</v>
      </c>
      <c r="K240">
        <v>83.316856384277301</v>
      </c>
      <c r="L240">
        <v>84.075271606445298</v>
      </c>
      <c r="M240">
        <v>84.828842163085895</v>
      </c>
      <c r="N240">
        <v>85.6</v>
      </c>
      <c r="O240">
        <v>86.3</v>
      </c>
      <c r="P240">
        <v>87</v>
      </c>
      <c r="Q240">
        <v>87.6</v>
      </c>
      <c r="R240">
        <v>88.3</v>
      </c>
      <c r="S240">
        <v>89</v>
      </c>
      <c r="T240">
        <v>92.3</v>
      </c>
      <c r="U240">
        <v>90.5</v>
      </c>
      <c r="V240">
        <v>91.2</v>
      </c>
      <c r="W240">
        <v>92</v>
      </c>
      <c r="X240">
        <v>92.8</v>
      </c>
      <c r="Y240">
        <v>92.2</v>
      </c>
      <c r="Z240">
        <v>92.8</v>
      </c>
      <c r="AA240">
        <v>95.1</v>
      </c>
      <c r="AB240">
        <v>95.9</v>
      </c>
      <c r="AC240">
        <v>100</v>
      </c>
      <c r="AD240">
        <v>97</v>
      </c>
      <c r="AE240">
        <v>98.2</v>
      </c>
      <c r="AF240">
        <v>99</v>
      </c>
      <c r="AG240">
        <v>98.4</v>
      </c>
      <c r="AH240">
        <v>99.9</v>
      </c>
      <c r="AI240">
        <v>100</v>
      </c>
      <c r="AJ240">
        <v>100</v>
      </c>
      <c r="AK240">
        <v>100</v>
      </c>
      <c r="AL240">
        <v>100</v>
      </c>
    </row>
    <row r="241" spans="1:38" x14ac:dyDescent="0.3">
      <c r="A241" t="s">
        <v>8</v>
      </c>
      <c r="B241" t="s">
        <v>83</v>
      </c>
      <c r="C241" t="s">
        <v>519</v>
      </c>
      <c r="G241">
        <v>46.563983968294629</v>
      </c>
      <c r="H241">
        <v>46.182183503465026</v>
      </c>
      <c r="I241">
        <v>47.664682185542482</v>
      </c>
      <c r="J241">
        <v>48.766499269409202</v>
      </c>
      <c r="K241">
        <v>50.296010492563781</v>
      </c>
      <c r="L241">
        <v>52.230373880599338</v>
      </c>
      <c r="M241">
        <v>56.017741200767468</v>
      </c>
      <c r="N241">
        <v>56.76642467640918</v>
      </c>
      <c r="O241">
        <v>58.348521315957726</v>
      </c>
      <c r="P241">
        <v>59.415783976672039</v>
      </c>
      <c r="Q241">
        <v>62.341103055880531</v>
      </c>
      <c r="R241">
        <v>61.484283033919738</v>
      </c>
      <c r="S241">
        <v>65.853646016292331</v>
      </c>
      <c r="T241">
        <v>65.923556586757158</v>
      </c>
      <c r="U241">
        <v>69.28488185924202</v>
      </c>
      <c r="V241">
        <v>71.77825886600202</v>
      </c>
      <c r="W241">
        <v>72.986586097352102</v>
      </c>
      <c r="X241">
        <v>74.07657363402366</v>
      </c>
      <c r="Y241">
        <v>77.309165158573165</v>
      </c>
      <c r="Z241">
        <v>78.419544450904866</v>
      </c>
      <c r="AA241">
        <v>80.847453203069037</v>
      </c>
      <c r="AB241">
        <v>82.848022429143143</v>
      </c>
      <c r="AC241">
        <v>86.532778462467249</v>
      </c>
      <c r="AD241">
        <v>88.318448040339817</v>
      </c>
      <c r="AE241">
        <v>91.398372830739703</v>
      </c>
      <c r="AF241">
        <v>94.819202405597835</v>
      </c>
      <c r="AG241">
        <v>95.469895398865319</v>
      </c>
      <c r="AH241">
        <v>96.401361739744075</v>
      </c>
      <c r="AI241">
        <v>99.369312913395106</v>
      </c>
      <c r="AJ241">
        <v>99.089511473193426</v>
      </c>
      <c r="AK241">
        <v>99.408788969740513</v>
      </c>
      <c r="AL241">
        <v>99.824642490205107</v>
      </c>
    </row>
    <row r="242" spans="1:38" x14ac:dyDescent="0.3">
      <c r="A242" t="s">
        <v>216</v>
      </c>
      <c r="B242" t="s">
        <v>475</v>
      </c>
      <c r="C242" t="s">
        <v>519</v>
      </c>
      <c r="J242">
        <v>28.512384382876753</v>
      </c>
      <c r="K242">
        <v>28.3636336834061</v>
      </c>
      <c r="L242">
        <v>28.568446021517754</v>
      </c>
      <c r="M242">
        <v>30.148932101516994</v>
      </c>
      <c r="N242">
        <v>25.705396956483831</v>
      </c>
      <c r="O242">
        <v>26.164218685280275</v>
      </c>
      <c r="P242">
        <v>27.339773137913795</v>
      </c>
      <c r="Q242">
        <v>29.596501581078094</v>
      </c>
      <c r="R242">
        <v>29.372566273936652</v>
      </c>
      <c r="S242">
        <v>29.351643304823245</v>
      </c>
      <c r="T242">
        <v>31.203487771529286</v>
      </c>
      <c r="U242">
        <v>32.51933342851693</v>
      </c>
      <c r="V242">
        <v>32.403660599882784</v>
      </c>
      <c r="W242">
        <v>32.625929202056739</v>
      </c>
      <c r="X242">
        <v>33.33640088059191</v>
      </c>
      <c r="Y242">
        <v>35.899100606575111</v>
      </c>
      <c r="Z242">
        <v>36.775178115882824</v>
      </c>
      <c r="AA242">
        <v>38.030516471949262</v>
      </c>
      <c r="AB242">
        <v>38.350538363573477</v>
      </c>
      <c r="AC242">
        <v>39.196473820641323</v>
      </c>
      <c r="AD242">
        <v>43.82830955588684</v>
      </c>
      <c r="AE242">
        <v>43.75994518756476</v>
      </c>
      <c r="AF242">
        <v>46.414088947282472</v>
      </c>
      <c r="AG242">
        <v>47.193489767594073</v>
      </c>
      <c r="AH242">
        <v>48.540846261286759</v>
      </c>
      <c r="AI242">
        <v>50.652678597114232</v>
      </c>
      <c r="AJ242">
        <v>51.507831098251472</v>
      </c>
      <c r="AK242">
        <v>53.2507689805499</v>
      </c>
      <c r="AL242">
        <v>55.110354255900049</v>
      </c>
    </row>
    <row r="243" spans="1:38" x14ac:dyDescent="0.3">
      <c r="A243" t="s">
        <v>630</v>
      </c>
      <c r="B243" t="s">
        <v>160</v>
      </c>
      <c r="C243" t="s">
        <v>519</v>
      </c>
      <c r="N243">
        <v>91.3</v>
      </c>
      <c r="O243">
        <v>96.3</v>
      </c>
      <c r="P243">
        <v>96.5</v>
      </c>
      <c r="Q243">
        <v>96.7</v>
      </c>
      <c r="R243">
        <v>96.8</v>
      </c>
      <c r="S243">
        <v>95</v>
      </c>
      <c r="T243">
        <v>100</v>
      </c>
      <c r="U243">
        <v>100</v>
      </c>
      <c r="V243">
        <v>100</v>
      </c>
      <c r="W243">
        <v>99</v>
      </c>
      <c r="X243">
        <v>100</v>
      </c>
      <c r="Y243">
        <v>97.5</v>
      </c>
      <c r="Z243">
        <v>100</v>
      </c>
      <c r="AA243">
        <v>100</v>
      </c>
      <c r="AB243">
        <v>100</v>
      </c>
      <c r="AC243">
        <v>100</v>
      </c>
      <c r="AD243">
        <v>100</v>
      </c>
      <c r="AE243">
        <v>100</v>
      </c>
      <c r="AF243">
        <v>100</v>
      </c>
      <c r="AG243">
        <v>100</v>
      </c>
      <c r="AH243">
        <v>100</v>
      </c>
      <c r="AI243">
        <v>100</v>
      </c>
      <c r="AJ243">
        <v>100</v>
      </c>
      <c r="AK243">
        <v>98.7</v>
      </c>
      <c r="AL243">
        <v>100</v>
      </c>
    </row>
    <row r="244" spans="1:38" x14ac:dyDescent="0.3">
      <c r="A244" t="s">
        <v>191</v>
      </c>
      <c r="B244" t="s">
        <v>20</v>
      </c>
      <c r="C244" t="s">
        <v>519</v>
      </c>
      <c r="H244">
        <v>86.8</v>
      </c>
      <c r="I244">
        <v>88.7</v>
      </c>
      <c r="J244">
        <v>90.4</v>
      </c>
      <c r="K244">
        <v>92</v>
      </c>
      <c r="L244">
        <v>93.2</v>
      </c>
      <c r="M244">
        <v>94.2</v>
      </c>
      <c r="N244">
        <v>94.8</v>
      </c>
      <c r="O244">
        <v>97.3</v>
      </c>
      <c r="P244">
        <v>97.8</v>
      </c>
      <c r="Q244">
        <v>98.4</v>
      </c>
      <c r="R244">
        <v>99</v>
      </c>
      <c r="S244">
        <v>99.2</v>
      </c>
      <c r="T244">
        <v>99.4</v>
      </c>
      <c r="U244">
        <v>99.4</v>
      </c>
      <c r="V244">
        <v>99.4</v>
      </c>
      <c r="W244">
        <v>99.5</v>
      </c>
      <c r="X244">
        <v>99.5</v>
      </c>
      <c r="Y244">
        <v>99.5</v>
      </c>
      <c r="Z244">
        <v>99.5</v>
      </c>
      <c r="AA244">
        <v>99.7</v>
      </c>
      <c r="AB244">
        <v>99.8</v>
      </c>
      <c r="AC244">
        <v>99.9</v>
      </c>
      <c r="AD244">
        <v>100</v>
      </c>
      <c r="AE244">
        <v>100</v>
      </c>
      <c r="AF244">
        <v>99.8</v>
      </c>
      <c r="AG244">
        <v>100</v>
      </c>
      <c r="AH244">
        <v>99.9</v>
      </c>
      <c r="AI244">
        <v>99.9</v>
      </c>
      <c r="AJ244">
        <v>100</v>
      </c>
      <c r="AK244">
        <v>100</v>
      </c>
      <c r="AL244">
        <v>100</v>
      </c>
    </row>
    <row r="245" spans="1:38" x14ac:dyDescent="0.3">
      <c r="A245" t="s">
        <v>110</v>
      </c>
      <c r="B245" t="s">
        <v>402</v>
      </c>
      <c r="C245" t="s">
        <v>519</v>
      </c>
      <c r="N245">
        <v>99.9</v>
      </c>
      <c r="O245">
        <v>99.9</v>
      </c>
      <c r="P245">
        <v>99.8</v>
      </c>
      <c r="Q245">
        <v>99.8</v>
      </c>
      <c r="R245">
        <v>99.7</v>
      </c>
      <c r="S245">
        <v>99.7</v>
      </c>
      <c r="T245">
        <v>99.7</v>
      </c>
      <c r="U245">
        <v>99.7</v>
      </c>
      <c r="V245">
        <v>99.7</v>
      </c>
      <c r="W245">
        <v>99.7</v>
      </c>
      <c r="X245">
        <v>100</v>
      </c>
      <c r="Y245">
        <v>100</v>
      </c>
      <c r="Z245">
        <v>100</v>
      </c>
      <c r="AA245">
        <v>100</v>
      </c>
      <c r="AB245">
        <v>100</v>
      </c>
      <c r="AC245">
        <v>100</v>
      </c>
      <c r="AD245">
        <v>100</v>
      </c>
      <c r="AE245">
        <v>100</v>
      </c>
      <c r="AF245">
        <v>100</v>
      </c>
      <c r="AG245">
        <v>100</v>
      </c>
      <c r="AH245">
        <v>100</v>
      </c>
      <c r="AI245">
        <v>100</v>
      </c>
      <c r="AJ245">
        <v>100</v>
      </c>
      <c r="AK245">
        <v>100</v>
      </c>
      <c r="AL245">
        <v>100</v>
      </c>
    </row>
    <row r="246" spans="1:38" x14ac:dyDescent="0.3">
      <c r="A246" t="s">
        <v>413</v>
      </c>
      <c r="B246" t="s">
        <v>89</v>
      </c>
      <c r="C246" t="s">
        <v>519</v>
      </c>
      <c r="N246">
        <v>94.6</v>
      </c>
      <c r="O246">
        <v>94.8</v>
      </c>
      <c r="P246">
        <v>94.6</v>
      </c>
      <c r="Q246">
        <v>95.1</v>
      </c>
      <c r="R246">
        <v>95.3</v>
      </c>
      <c r="S246">
        <v>95.5</v>
      </c>
      <c r="T246">
        <v>95.7</v>
      </c>
      <c r="U246">
        <v>96.7</v>
      </c>
      <c r="V246">
        <v>96.2</v>
      </c>
      <c r="W246">
        <v>96.5</v>
      </c>
      <c r="X246">
        <v>96.7</v>
      </c>
      <c r="Y246">
        <v>97</v>
      </c>
      <c r="Z246">
        <v>97.7</v>
      </c>
      <c r="AA246">
        <v>97.6</v>
      </c>
      <c r="AB246">
        <v>97.9</v>
      </c>
      <c r="AC246">
        <v>98.1</v>
      </c>
      <c r="AD246">
        <v>97.3</v>
      </c>
      <c r="AE246">
        <v>98.7</v>
      </c>
      <c r="AF246">
        <v>99</v>
      </c>
      <c r="AG246">
        <v>99.7</v>
      </c>
      <c r="AH246">
        <v>99.4</v>
      </c>
      <c r="AI246">
        <v>99.7</v>
      </c>
      <c r="AJ246">
        <v>100</v>
      </c>
      <c r="AK246">
        <v>100</v>
      </c>
      <c r="AL246">
        <v>100</v>
      </c>
    </row>
    <row r="247" spans="1:38" x14ac:dyDescent="0.3">
      <c r="A247" t="s">
        <v>538</v>
      </c>
      <c r="B247" t="s">
        <v>436</v>
      </c>
      <c r="C247" t="s">
        <v>519</v>
      </c>
      <c r="F247">
        <v>6.8</v>
      </c>
      <c r="G247">
        <v>2.3301877975463898</v>
      </c>
      <c r="H247">
        <v>3.30064725875854</v>
      </c>
      <c r="I247">
        <v>4.2690672874450701</v>
      </c>
      <c r="J247">
        <v>9.4</v>
      </c>
      <c r="K247">
        <v>6.1970682144165004</v>
      </c>
      <c r="L247">
        <v>7.1552896499633798</v>
      </c>
      <c r="M247">
        <v>8</v>
      </c>
      <c r="N247">
        <v>8.6999999999999993</v>
      </c>
      <c r="O247">
        <v>9.6999999999999993</v>
      </c>
      <c r="P247">
        <v>10.7</v>
      </c>
      <c r="Q247">
        <v>11.1</v>
      </c>
      <c r="R247">
        <v>11.4</v>
      </c>
      <c r="S247">
        <v>13.8</v>
      </c>
      <c r="T247">
        <v>14.9</v>
      </c>
      <c r="U247">
        <v>15.9</v>
      </c>
      <c r="V247">
        <v>11.5</v>
      </c>
      <c r="W247">
        <v>11.2</v>
      </c>
      <c r="X247">
        <v>14.8</v>
      </c>
      <c r="Y247">
        <v>14.2</v>
      </c>
      <c r="Z247">
        <v>15.3</v>
      </c>
      <c r="AA247">
        <v>16.399999999999999</v>
      </c>
      <c r="AB247">
        <v>23.5</v>
      </c>
      <c r="AC247">
        <v>26.2</v>
      </c>
      <c r="AD247">
        <v>32.799999999999997</v>
      </c>
      <c r="AE247">
        <v>32.1</v>
      </c>
      <c r="AF247">
        <v>34.9</v>
      </c>
      <c r="AG247">
        <v>37.700000000000003</v>
      </c>
      <c r="AH247">
        <v>39.9</v>
      </c>
      <c r="AI247">
        <v>42.7</v>
      </c>
      <c r="AJ247">
        <v>45.8</v>
      </c>
      <c r="AK247">
        <v>48.3</v>
      </c>
      <c r="AL247">
        <v>52.4</v>
      </c>
    </row>
    <row r="248" spans="1:38" x14ac:dyDescent="0.3">
      <c r="A248" t="s">
        <v>658</v>
      </c>
      <c r="B248" t="s">
        <v>145</v>
      </c>
      <c r="C248" t="s">
        <v>519</v>
      </c>
      <c r="E248">
        <v>5.6</v>
      </c>
      <c r="H248">
        <v>0.53389853239059404</v>
      </c>
      <c r="I248">
        <v>6.8</v>
      </c>
      <c r="J248">
        <v>2.8111042976379399</v>
      </c>
      <c r="K248">
        <v>3.9449477195739702</v>
      </c>
      <c r="L248">
        <v>5.0747117996215803</v>
      </c>
      <c r="M248">
        <v>6.1996340751647896</v>
      </c>
      <c r="N248">
        <v>7.4</v>
      </c>
      <c r="O248">
        <v>8.6</v>
      </c>
      <c r="P248">
        <v>7.8</v>
      </c>
      <c r="Q248">
        <v>10.5</v>
      </c>
      <c r="R248">
        <v>11.6</v>
      </c>
      <c r="S248">
        <v>8.9</v>
      </c>
      <c r="T248">
        <v>9</v>
      </c>
      <c r="U248">
        <v>14.8</v>
      </c>
      <c r="V248">
        <v>15.9</v>
      </c>
      <c r="W248">
        <v>10</v>
      </c>
      <c r="X248">
        <v>12.1</v>
      </c>
      <c r="Y248">
        <v>14.6</v>
      </c>
      <c r="Z248">
        <v>20.5</v>
      </c>
      <c r="AA248">
        <v>13.9</v>
      </c>
      <c r="AB248">
        <v>20.399999999999999</v>
      </c>
      <c r="AC248">
        <v>18.5</v>
      </c>
      <c r="AD248">
        <v>26.7</v>
      </c>
      <c r="AE248">
        <v>32.4</v>
      </c>
      <c r="AF248">
        <v>41.9</v>
      </c>
      <c r="AG248">
        <v>41.3</v>
      </c>
      <c r="AH248">
        <v>42.1</v>
      </c>
      <c r="AI248">
        <v>45.2</v>
      </c>
      <c r="AJ248">
        <v>47.1</v>
      </c>
      <c r="AK248">
        <v>51.5</v>
      </c>
      <c r="AL248">
        <v>55.3</v>
      </c>
    </row>
    <row r="249" spans="1:38" x14ac:dyDescent="0.3">
      <c r="A249" t="s">
        <v>411</v>
      </c>
      <c r="B249" t="s">
        <v>480</v>
      </c>
      <c r="C249" t="s">
        <v>519</v>
      </c>
      <c r="D249">
        <v>100</v>
      </c>
      <c r="E249">
        <v>100</v>
      </c>
      <c r="F249">
        <v>100</v>
      </c>
      <c r="G249">
        <v>100</v>
      </c>
      <c r="H249">
        <v>100</v>
      </c>
      <c r="I249">
        <v>100</v>
      </c>
      <c r="J249">
        <v>100</v>
      </c>
      <c r="K249">
        <v>100</v>
      </c>
      <c r="L249">
        <v>100</v>
      </c>
      <c r="M249">
        <v>100</v>
      </c>
      <c r="N249">
        <v>99.1</v>
      </c>
      <c r="O249">
        <v>99.2</v>
      </c>
      <c r="P249">
        <v>99.3</v>
      </c>
      <c r="Q249">
        <v>99.3</v>
      </c>
      <c r="R249">
        <v>99.4</v>
      </c>
      <c r="S249">
        <v>99.9</v>
      </c>
      <c r="T249">
        <v>99.5</v>
      </c>
      <c r="U249">
        <v>99.8</v>
      </c>
      <c r="V249">
        <v>99.8</v>
      </c>
      <c r="W249">
        <v>99.9</v>
      </c>
      <c r="X249">
        <v>100</v>
      </c>
      <c r="Y249">
        <v>100</v>
      </c>
      <c r="Z249">
        <v>99.9</v>
      </c>
      <c r="AA249">
        <v>100</v>
      </c>
      <c r="AB249">
        <v>100</v>
      </c>
      <c r="AC249">
        <v>100</v>
      </c>
      <c r="AD249">
        <v>100</v>
      </c>
      <c r="AE249">
        <v>100</v>
      </c>
      <c r="AF249">
        <v>100</v>
      </c>
      <c r="AG249">
        <v>100</v>
      </c>
      <c r="AH249">
        <v>100</v>
      </c>
      <c r="AI249">
        <v>100</v>
      </c>
      <c r="AJ249">
        <v>100</v>
      </c>
      <c r="AK249">
        <v>100</v>
      </c>
      <c r="AL249">
        <v>100</v>
      </c>
    </row>
    <row r="250" spans="1:38" x14ac:dyDescent="0.3">
      <c r="A250" t="s">
        <v>149</v>
      </c>
      <c r="B250" t="s">
        <v>563</v>
      </c>
      <c r="C250" t="s">
        <v>519</v>
      </c>
      <c r="N250">
        <v>93.383589282835004</v>
      </c>
      <c r="O250">
        <v>93.828406632035978</v>
      </c>
      <c r="P250">
        <v>94.412019902700834</v>
      </c>
      <c r="Q250">
        <v>94.587989741403732</v>
      </c>
      <c r="R250">
        <v>95.315254486471233</v>
      </c>
      <c r="S250">
        <v>95.08215959777209</v>
      </c>
      <c r="T250">
        <v>96.008970431117433</v>
      </c>
      <c r="U250">
        <v>96.094468583742312</v>
      </c>
      <c r="V250">
        <v>96.614238102952342</v>
      </c>
      <c r="W250">
        <v>97.125629530540053</v>
      </c>
      <c r="X250">
        <v>97.643195158133508</v>
      </c>
      <c r="Y250">
        <v>97.964226808396901</v>
      </c>
      <c r="Z250">
        <v>98.133055889863002</v>
      </c>
      <c r="AA250">
        <v>98.342156042216843</v>
      </c>
      <c r="AB250">
        <v>98.55682066369161</v>
      </c>
      <c r="AC250">
        <v>98.618516632686678</v>
      </c>
      <c r="AD250">
        <v>98.775687832275565</v>
      </c>
      <c r="AE250">
        <v>98.953112630726878</v>
      </c>
      <c r="AF250">
        <v>99.028393190542246</v>
      </c>
      <c r="AG250">
        <v>99.130866222090333</v>
      </c>
      <c r="AH250">
        <v>99.138999918020872</v>
      </c>
      <c r="AI250">
        <v>99.387205759204534</v>
      </c>
      <c r="AJ250">
        <v>99.353761581447387</v>
      </c>
      <c r="AK250">
        <v>99.392898640485015</v>
      </c>
      <c r="AL250">
        <v>99.315283995903215</v>
      </c>
    </row>
    <row r="251" spans="1:38" x14ac:dyDescent="0.3">
      <c r="A251" t="s">
        <v>502</v>
      </c>
      <c r="B251" t="s">
        <v>693</v>
      </c>
      <c r="C251" t="s">
        <v>519</v>
      </c>
      <c r="F251">
        <v>96.182312011718807</v>
      </c>
      <c r="G251">
        <v>96.363059997558594</v>
      </c>
      <c r="H251">
        <v>96.542449951171903</v>
      </c>
      <c r="I251">
        <v>96.719795227050795</v>
      </c>
      <c r="J251">
        <v>95.9</v>
      </c>
      <c r="K251">
        <v>97.065650939941406</v>
      </c>
      <c r="L251">
        <v>97.232803344726605</v>
      </c>
      <c r="M251">
        <v>97.395111083984403</v>
      </c>
      <c r="N251">
        <v>97.6</v>
      </c>
      <c r="O251">
        <v>97.7</v>
      </c>
      <c r="P251">
        <v>97.8</v>
      </c>
      <c r="Q251">
        <v>97.9</v>
      </c>
      <c r="R251">
        <v>98</v>
      </c>
      <c r="S251">
        <v>98</v>
      </c>
      <c r="T251">
        <v>98.5</v>
      </c>
      <c r="U251">
        <v>98.7</v>
      </c>
      <c r="V251">
        <v>98.8</v>
      </c>
      <c r="W251">
        <v>99.1</v>
      </c>
      <c r="X251">
        <v>99.3</v>
      </c>
      <c r="Y251">
        <v>99.2</v>
      </c>
      <c r="Z251">
        <v>99.6</v>
      </c>
      <c r="AA251">
        <v>99.6</v>
      </c>
      <c r="AB251">
        <v>99.7</v>
      </c>
      <c r="AC251">
        <v>99.7</v>
      </c>
      <c r="AD251">
        <v>99.7</v>
      </c>
      <c r="AE251">
        <v>99.8</v>
      </c>
      <c r="AF251">
        <v>99.8</v>
      </c>
      <c r="AG251">
        <v>99.9</v>
      </c>
      <c r="AH251">
        <v>100</v>
      </c>
      <c r="AI251">
        <v>100</v>
      </c>
      <c r="AJ251">
        <v>100</v>
      </c>
      <c r="AK251">
        <v>100</v>
      </c>
      <c r="AL251">
        <v>100</v>
      </c>
    </row>
    <row r="252" spans="1:38" x14ac:dyDescent="0.3">
      <c r="A252" t="s">
        <v>379</v>
      </c>
      <c r="B252" t="s">
        <v>585</v>
      </c>
      <c r="C252" t="s">
        <v>519</v>
      </c>
      <c r="D252">
        <v>100</v>
      </c>
      <c r="E252">
        <v>100</v>
      </c>
      <c r="F252">
        <v>100</v>
      </c>
      <c r="G252">
        <v>100</v>
      </c>
      <c r="H252">
        <v>100</v>
      </c>
      <c r="I252">
        <v>100</v>
      </c>
      <c r="J252">
        <v>100</v>
      </c>
      <c r="K252">
        <v>100</v>
      </c>
      <c r="L252">
        <v>100</v>
      </c>
      <c r="M252">
        <v>100</v>
      </c>
      <c r="N252">
        <v>100</v>
      </c>
      <c r="O252">
        <v>100</v>
      </c>
      <c r="P252">
        <v>100</v>
      </c>
      <c r="Q252">
        <v>100</v>
      </c>
      <c r="R252">
        <v>100</v>
      </c>
      <c r="S252">
        <v>100</v>
      </c>
      <c r="T252">
        <v>100</v>
      </c>
      <c r="U252">
        <v>100</v>
      </c>
      <c r="V252">
        <v>100</v>
      </c>
      <c r="W252">
        <v>100</v>
      </c>
      <c r="X252">
        <v>100</v>
      </c>
      <c r="Y252">
        <v>100</v>
      </c>
      <c r="Z252">
        <v>100</v>
      </c>
      <c r="AA252">
        <v>100</v>
      </c>
      <c r="AB252">
        <v>100</v>
      </c>
      <c r="AC252">
        <v>100</v>
      </c>
      <c r="AD252">
        <v>100</v>
      </c>
      <c r="AE252">
        <v>100</v>
      </c>
      <c r="AF252">
        <v>100</v>
      </c>
      <c r="AG252">
        <v>100</v>
      </c>
      <c r="AH252">
        <v>100</v>
      </c>
      <c r="AI252">
        <v>100</v>
      </c>
      <c r="AJ252">
        <v>100</v>
      </c>
      <c r="AK252">
        <v>100</v>
      </c>
      <c r="AL252">
        <v>100</v>
      </c>
    </row>
    <row r="253" spans="1:38" x14ac:dyDescent="0.3">
      <c r="A253" t="s">
        <v>288</v>
      </c>
      <c r="B253" t="s">
        <v>142</v>
      </c>
      <c r="C253" t="s">
        <v>519</v>
      </c>
      <c r="J253">
        <v>99.6</v>
      </c>
      <c r="K253">
        <v>99.379745483398395</v>
      </c>
      <c r="L253">
        <v>99.449348449707003</v>
      </c>
      <c r="M253">
        <v>99.514114379882798</v>
      </c>
      <c r="N253">
        <v>99.6</v>
      </c>
      <c r="O253">
        <v>99.6</v>
      </c>
      <c r="P253">
        <v>99.7</v>
      </c>
      <c r="Q253">
        <v>99.5</v>
      </c>
      <c r="R253">
        <v>99.5</v>
      </c>
      <c r="S253">
        <v>99.4</v>
      </c>
      <c r="T253">
        <v>99.5</v>
      </c>
      <c r="U253">
        <v>99.5</v>
      </c>
      <c r="V253">
        <v>99.5</v>
      </c>
      <c r="W253">
        <v>99.5</v>
      </c>
      <c r="X253">
        <v>99.6</v>
      </c>
      <c r="Y253">
        <v>99.7</v>
      </c>
      <c r="Z253">
        <v>99.7</v>
      </c>
      <c r="AA253">
        <v>99.8</v>
      </c>
      <c r="AB253">
        <v>99.8</v>
      </c>
      <c r="AC253">
        <v>99.9</v>
      </c>
      <c r="AD253">
        <v>99.9</v>
      </c>
      <c r="AE253">
        <v>100</v>
      </c>
      <c r="AF253">
        <v>100</v>
      </c>
      <c r="AG253">
        <v>100</v>
      </c>
      <c r="AH253">
        <v>100</v>
      </c>
      <c r="AI253">
        <v>99.9</v>
      </c>
      <c r="AJ253">
        <v>100</v>
      </c>
      <c r="AK253">
        <v>100</v>
      </c>
      <c r="AL253">
        <v>100</v>
      </c>
    </row>
    <row r="254" spans="1:38" x14ac:dyDescent="0.3">
      <c r="A254" t="s">
        <v>52</v>
      </c>
      <c r="B254" t="s">
        <v>95</v>
      </c>
      <c r="C254" t="s">
        <v>519</v>
      </c>
      <c r="E254">
        <v>66.8</v>
      </c>
      <c r="F254">
        <v>69.114433288574205</v>
      </c>
      <c r="G254">
        <v>70.46484375</v>
      </c>
      <c r="H254">
        <v>71.813896179199205</v>
      </c>
      <c r="I254">
        <v>73.160903930664105</v>
      </c>
      <c r="J254">
        <v>74.505203247070298</v>
      </c>
      <c r="K254">
        <v>75.846092224121094</v>
      </c>
      <c r="L254">
        <v>77.182907104492202</v>
      </c>
      <c r="M254">
        <v>78.514877319335895</v>
      </c>
      <c r="N254">
        <v>80</v>
      </c>
      <c r="O254">
        <v>82.4</v>
      </c>
      <c r="P254">
        <v>82.4</v>
      </c>
      <c r="Q254">
        <v>83.7</v>
      </c>
      <c r="R254">
        <v>84.9</v>
      </c>
      <c r="S254">
        <v>86.2</v>
      </c>
      <c r="T254">
        <v>87.5</v>
      </c>
      <c r="U254">
        <v>88.8</v>
      </c>
      <c r="V254">
        <v>90.1</v>
      </c>
      <c r="W254">
        <v>91.4</v>
      </c>
      <c r="X254">
        <v>92.7</v>
      </c>
      <c r="Y254">
        <v>94.1</v>
      </c>
      <c r="Z254">
        <v>95.4</v>
      </c>
      <c r="AA254">
        <v>96.8</v>
      </c>
      <c r="AB254">
        <v>98.1</v>
      </c>
      <c r="AC254">
        <v>99.4</v>
      </c>
      <c r="AD254">
        <v>99.7</v>
      </c>
      <c r="AE254">
        <v>100</v>
      </c>
      <c r="AF254">
        <v>100</v>
      </c>
      <c r="AG254">
        <v>100</v>
      </c>
      <c r="AH254">
        <v>100</v>
      </c>
      <c r="AI254">
        <v>100</v>
      </c>
      <c r="AJ254">
        <v>100</v>
      </c>
      <c r="AK254">
        <v>100</v>
      </c>
      <c r="AL254">
        <v>100</v>
      </c>
    </row>
    <row r="255" spans="1:38" x14ac:dyDescent="0.3">
      <c r="A255" t="s">
        <v>74</v>
      </c>
      <c r="B255" t="s">
        <v>297</v>
      </c>
      <c r="C255" t="s">
        <v>519</v>
      </c>
      <c r="F255">
        <v>97.820203000000006</v>
      </c>
      <c r="G255">
        <v>98.239532470703097</v>
      </c>
      <c r="H255">
        <v>98.323333740234403</v>
      </c>
      <c r="I255">
        <v>99</v>
      </c>
      <c r="J255">
        <v>98.484130859375</v>
      </c>
      <c r="K255">
        <v>98.7</v>
      </c>
      <c r="L255">
        <v>98.4</v>
      </c>
      <c r="M255">
        <v>98.9</v>
      </c>
      <c r="N255">
        <v>98.9</v>
      </c>
      <c r="O255">
        <v>99.9</v>
      </c>
      <c r="P255">
        <v>99.8</v>
      </c>
      <c r="Q255">
        <v>95.7</v>
      </c>
      <c r="R255">
        <v>99.1</v>
      </c>
      <c r="S255">
        <v>98.8</v>
      </c>
      <c r="T255">
        <v>99.3</v>
      </c>
      <c r="U255">
        <v>98.9</v>
      </c>
      <c r="V255">
        <v>98.9</v>
      </c>
      <c r="W255">
        <v>99</v>
      </c>
      <c r="X255">
        <v>99.1</v>
      </c>
      <c r="Y255">
        <v>98.8</v>
      </c>
      <c r="Z255">
        <v>99.3</v>
      </c>
      <c r="AA255">
        <v>99.4</v>
      </c>
      <c r="AB255">
        <v>100</v>
      </c>
      <c r="AC255">
        <v>100</v>
      </c>
      <c r="AD255">
        <v>99.4</v>
      </c>
      <c r="AE255">
        <v>99.2</v>
      </c>
      <c r="AF255">
        <v>99.9</v>
      </c>
      <c r="AG255">
        <v>99.8</v>
      </c>
      <c r="AH255">
        <v>99.9</v>
      </c>
      <c r="AI255">
        <v>100</v>
      </c>
      <c r="AJ255">
        <v>100</v>
      </c>
      <c r="AK255">
        <v>100</v>
      </c>
      <c r="AL255">
        <v>100</v>
      </c>
    </row>
    <row r="256" spans="1:38" x14ac:dyDescent="0.3">
      <c r="A256" t="s">
        <v>304</v>
      </c>
      <c r="B256" t="s">
        <v>564</v>
      </c>
      <c r="C256" t="s">
        <v>519</v>
      </c>
      <c r="D256">
        <v>94.606559753417997</v>
      </c>
      <c r="E256">
        <v>94.824737548828097</v>
      </c>
      <c r="F256">
        <v>95.042800903320298</v>
      </c>
      <c r="G256">
        <v>95.260192871093807</v>
      </c>
      <c r="H256">
        <v>95.476219177246094</v>
      </c>
      <c r="I256">
        <v>95.690200805664105</v>
      </c>
      <c r="J256">
        <v>95.901473999023395</v>
      </c>
      <c r="K256">
        <v>96.109336853027301</v>
      </c>
      <c r="L256">
        <v>96.313125610351605</v>
      </c>
      <c r="M256">
        <v>96.512077331542997</v>
      </c>
      <c r="N256">
        <v>97.1</v>
      </c>
      <c r="O256">
        <v>97.2</v>
      </c>
      <c r="P256">
        <v>97.3</v>
      </c>
      <c r="Q256">
        <v>97.4</v>
      </c>
      <c r="R256">
        <v>97.5</v>
      </c>
      <c r="S256">
        <v>97.6</v>
      </c>
      <c r="T256">
        <v>97.8</v>
      </c>
      <c r="U256">
        <v>97.9</v>
      </c>
      <c r="V256">
        <v>98.1</v>
      </c>
      <c r="W256">
        <v>98.3</v>
      </c>
      <c r="X256">
        <v>98.3</v>
      </c>
      <c r="Y256">
        <v>98.7</v>
      </c>
      <c r="Z256">
        <v>98.9</v>
      </c>
      <c r="AA256">
        <v>99.1</v>
      </c>
      <c r="AB256">
        <v>99.2</v>
      </c>
      <c r="AC256">
        <v>100</v>
      </c>
      <c r="AD256">
        <v>100</v>
      </c>
      <c r="AE256">
        <v>100</v>
      </c>
      <c r="AF256">
        <v>100</v>
      </c>
      <c r="AG256">
        <v>100</v>
      </c>
      <c r="AH256">
        <v>100</v>
      </c>
      <c r="AI256">
        <v>100</v>
      </c>
      <c r="AJ256">
        <v>100</v>
      </c>
      <c r="AK256">
        <v>100</v>
      </c>
      <c r="AL256">
        <v>100</v>
      </c>
    </row>
    <row r="257" spans="1:38" x14ac:dyDescent="0.3">
      <c r="A257" t="s">
        <v>406</v>
      </c>
      <c r="B257" t="s">
        <v>124</v>
      </c>
      <c r="C257" t="s">
        <v>519</v>
      </c>
      <c r="D257">
        <v>100</v>
      </c>
      <c r="E257">
        <v>100</v>
      </c>
      <c r="F257">
        <v>100</v>
      </c>
      <c r="G257">
        <v>100</v>
      </c>
      <c r="H257">
        <v>100</v>
      </c>
      <c r="I257">
        <v>100</v>
      </c>
      <c r="J257">
        <v>100</v>
      </c>
      <c r="K257">
        <v>100</v>
      </c>
      <c r="L257">
        <v>100</v>
      </c>
      <c r="M257">
        <v>100</v>
      </c>
      <c r="N257">
        <v>100</v>
      </c>
      <c r="O257">
        <v>100</v>
      </c>
      <c r="P257">
        <v>100</v>
      </c>
      <c r="Q257">
        <v>100</v>
      </c>
      <c r="R257">
        <v>100</v>
      </c>
      <c r="S257">
        <v>100</v>
      </c>
      <c r="T257">
        <v>100</v>
      </c>
      <c r="U257">
        <v>100</v>
      </c>
      <c r="V257">
        <v>100</v>
      </c>
      <c r="W257">
        <v>100</v>
      </c>
      <c r="X257">
        <v>100</v>
      </c>
      <c r="Y257">
        <v>100</v>
      </c>
      <c r="Z257">
        <v>100</v>
      </c>
      <c r="AA257">
        <v>100</v>
      </c>
      <c r="AB257">
        <v>100</v>
      </c>
      <c r="AC257">
        <v>100</v>
      </c>
      <c r="AD257">
        <v>100</v>
      </c>
      <c r="AE257">
        <v>100</v>
      </c>
      <c r="AF257">
        <v>100</v>
      </c>
      <c r="AG257">
        <v>100</v>
      </c>
      <c r="AH257">
        <v>100</v>
      </c>
      <c r="AI257">
        <v>100</v>
      </c>
      <c r="AJ257">
        <v>100</v>
      </c>
      <c r="AK257">
        <v>100</v>
      </c>
      <c r="AL257">
        <v>100</v>
      </c>
    </row>
    <row r="258" spans="1:38" x14ac:dyDescent="0.3">
      <c r="A258" t="s">
        <v>370</v>
      </c>
      <c r="B258" t="s">
        <v>604</v>
      </c>
      <c r="C258" t="s">
        <v>519</v>
      </c>
      <c r="K258">
        <v>78.400000000000006</v>
      </c>
      <c r="L258">
        <v>86.175987243652301</v>
      </c>
      <c r="M258">
        <v>86.994438171386705</v>
      </c>
      <c r="N258">
        <v>88.2</v>
      </c>
      <c r="O258">
        <v>88.9</v>
      </c>
      <c r="P258">
        <v>89.1</v>
      </c>
      <c r="Q258">
        <v>90.3</v>
      </c>
      <c r="R258">
        <v>91</v>
      </c>
      <c r="S258">
        <v>96.1</v>
      </c>
      <c r="T258">
        <v>96</v>
      </c>
      <c r="U258">
        <v>93.1</v>
      </c>
      <c r="V258">
        <v>93.8</v>
      </c>
      <c r="W258">
        <v>96.1</v>
      </c>
      <c r="X258">
        <v>97.4</v>
      </c>
      <c r="Y258">
        <v>99</v>
      </c>
      <c r="Z258">
        <v>97.9</v>
      </c>
      <c r="AA258">
        <v>98.5</v>
      </c>
      <c r="AB258">
        <v>99.2</v>
      </c>
      <c r="AC258">
        <v>99.3</v>
      </c>
      <c r="AD258">
        <v>99.2</v>
      </c>
      <c r="AE258">
        <v>100</v>
      </c>
      <c r="AF258">
        <v>100</v>
      </c>
      <c r="AG258">
        <v>99.4</v>
      </c>
      <c r="AH258">
        <v>99.8</v>
      </c>
      <c r="AI258">
        <v>100</v>
      </c>
      <c r="AJ258">
        <v>100</v>
      </c>
      <c r="AK258">
        <v>99.8</v>
      </c>
      <c r="AL258">
        <v>100</v>
      </c>
    </row>
    <row r="259" spans="1:38" x14ac:dyDescent="0.3">
      <c r="A259" t="s">
        <v>602</v>
      </c>
      <c r="B259" t="s">
        <v>114</v>
      </c>
      <c r="C259" t="s">
        <v>519</v>
      </c>
      <c r="H259">
        <v>18</v>
      </c>
      <c r="I259">
        <v>12.941643714904799</v>
      </c>
      <c r="J259">
        <v>14.792361259460399</v>
      </c>
      <c r="K259">
        <v>16.6396789550781</v>
      </c>
      <c r="L259">
        <v>18.482917785644499</v>
      </c>
      <c r="M259">
        <v>19.100000000000001</v>
      </c>
      <c r="N259">
        <v>22.2</v>
      </c>
      <c r="O259">
        <v>24</v>
      </c>
      <c r="P259">
        <v>25.7</v>
      </c>
      <c r="Q259">
        <v>27.5</v>
      </c>
      <c r="R259">
        <v>29.2</v>
      </c>
      <c r="S259">
        <v>31</v>
      </c>
      <c r="T259">
        <v>26.4</v>
      </c>
      <c r="U259">
        <v>33.6</v>
      </c>
      <c r="V259">
        <v>36.5</v>
      </c>
      <c r="W259">
        <v>33.299999999999997</v>
      </c>
      <c r="X259">
        <v>44.1</v>
      </c>
      <c r="Y259">
        <v>42</v>
      </c>
      <c r="Z259">
        <v>43.9</v>
      </c>
      <c r="AA259">
        <v>31.7</v>
      </c>
      <c r="AB259">
        <v>49.1</v>
      </c>
      <c r="AC259">
        <v>52.3</v>
      </c>
      <c r="AD259">
        <v>57.8</v>
      </c>
      <c r="AE259">
        <v>62.8</v>
      </c>
      <c r="AF259">
        <v>61.6</v>
      </c>
      <c r="AG259">
        <v>64.5</v>
      </c>
      <c r="AH259">
        <v>67.3</v>
      </c>
      <c r="AI259">
        <v>70</v>
      </c>
      <c r="AJ259">
        <v>70</v>
      </c>
      <c r="AK259">
        <v>61.6</v>
      </c>
      <c r="AL259">
        <v>65.5</v>
      </c>
    </row>
    <row r="260" spans="1:38" x14ac:dyDescent="0.3">
      <c r="A260" t="s">
        <v>560</v>
      </c>
      <c r="B260" t="s">
        <v>680</v>
      </c>
      <c r="C260" t="s">
        <v>519</v>
      </c>
      <c r="L260">
        <v>73.200580846570176</v>
      </c>
      <c r="M260">
        <v>74.507858282117297</v>
      </c>
      <c r="N260">
        <v>78.224965031972005</v>
      </c>
      <c r="O260">
        <v>78.718809926322976</v>
      </c>
      <c r="P260">
        <v>79.10435891020505</v>
      </c>
      <c r="Q260">
        <v>79.968471468547548</v>
      </c>
      <c r="R260">
        <v>79.955707101626672</v>
      </c>
      <c r="S260">
        <v>80.704575898338348</v>
      </c>
      <c r="T260">
        <v>81.35672719053693</v>
      </c>
      <c r="U260">
        <v>81.97457266213344</v>
      </c>
      <c r="V260">
        <v>82.671418369227339</v>
      </c>
      <c r="W260">
        <v>82.868825763376066</v>
      </c>
      <c r="X260">
        <v>83.450156425240465</v>
      </c>
      <c r="Y260">
        <v>84.5088722141776</v>
      </c>
      <c r="Z260">
        <v>84.939155573103463</v>
      </c>
      <c r="AA260">
        <v>85.71369070838179</v>
      </c>
      <c r="AB260">
        <v>86.198537437737997</v>
      </c>
      <c r="AC260">
        <v>86.927366760894543</v>
      </c>
      <c r="AD260">
        <v>88.108096723849869</v>
      </c>
      <c r="AE260">
        <v>88.935712400331241</v>
      </c>
      <c r="AF260">
        <v>89.801177701915506</v>
      </c>
      <c r="AG260">
        <v>90.108963585377751</v>
      </c>
      <c r="AH260">
        <v>90.399546782019115</v>
      </c>
      <c r="AI260">
        <v>91.338514409901194</v>
      </c>
      <c r="AJ260">
        <v>91.281773669991495</v>
      </c>
      <c r="AK260">
        <v>91.603476248023867</v>
      </c>
      <c r="AL260">
        <v>91.926484385368113</v>
      </c>
    </row>
    <row r="261" spans="1:38" x14ac:dyDescent="0.3">
      <c r="A261" t="s">
        <v>169</v>
      </c>
      <c r="B261" t="s">
        <v>461</v>
      </c>
      <c r="C261" t="s">
        <v>519</v>
      </c>
      <c r="E261">
        <v>78.8</v>
      </c>
      <c r="F261">
        <v>81.640167236328097</v>
      </c>
      <c r="G261">
        <v>82.424591064453097</v>
      </c>
      <c r="H261">
        <v>80</v>
      </c>
      <c r="I261">
        <v>83.988693237304702</v>
      </c>
      <c r="J261">
        <v>84.766998291015597</v>
      </c>
      <c r="K261">
        <v>85.541908264160199</v>
      </c>
      <c r="L261">
        <v>86.312744140625</v>
      </c>
      <c r="M261">
        <v>87.078727722167997</v>
      </c>
      <c r="N261">
        <v>88</v>
      </c>
      <c r="O261">
        <v>88.7</v>
      </c>
      <c r="P261">
        <v>89.3</v>
      </c>
      <c r="Q261">
        <v>89.9</v>
      </c>
      <c r="R261">
        <v>90.5</v>
      </c>
      <c r="S261">
        <v>91.1</v>
      </c>
      <c r="T261">
        <v>96.4</v>
      </c>
      <c r="U261">
        <v>92.5</v>
      </c>
      <c r="V261">
        <v>98.1</v>
      </c>
      <c r="W261">
        <v>97.9</v>
      </c>
      <c r="X261">
        <v>96.4</v>
      </c>
      <c r="Y261">
        <v>96.7</v>
      </c>
      <c r="Z261">
        <v>96.8</v>
      </c>
      <c r="AA261">
        <v>97</v>
      </c>
      <c r="AB261">
        <v>97.9</v>
      </c>
      <c r="AC261">
        <v>98.2</v>
      </c>
      <c r="AD261">
        <v>98.9</v>
      </c>
      <c r="AE261">
        <v>96.8</v>
      </c>
      <c r="AF261">
        <v>99.8</v>
      </c>
      <c r="AG261">
        <v>99.2</v>
      </c>
      <c r="AH261">
        <v>100</v>
      </c>
      <c r="AI261">
        <v>98.3</v>
      </c>
      <c r="AJ261">
        <v>98.3</v>
      </c>
      <c r="AK261">
        <v>100</v>
      </c>
      <c r="AL261">
        <v>100</v>
      </c>
    </row>
    <row r="262" spans="1:38" x14ac:dyDescent="0.3">
      <c r="A262" t="s">
        <v>412</v>
      </c>
      <c r="B262" t="s">
        <v>195</v>
      </c>
      <c r="C262" t="s">
        <v>519</v>
      </c>
      <c r="D262">
        <v>100</v>
      </c>
      <c r="E262">
        <v>100</v>
      </c>
      <c r="F262">
        <v>100</v>
      </c>
      <c r="G262">
        <v>100</v>
      </c>
      <c r="H262">
        <v>100</v>
      </c>
      <c r="I262">
        <v>100</v>
      </c>
      <c r="J262">
        <v>100</v>
      </c>
      <c r="K262">
        <v>100</v>
      </c>
      <c r="L262">
        <v>100</v>
      </c>
      <c r="M262">
        <v>100</v>
      </c>
    </row>
    <row r="263" spans="1:38" x14ac:dyDescent="0.3">
      <c r="A263" t="s">
        <v>664</v>
      </c>
      <c r="B263" t="s">
        <v>15</v>
      </c>
      <c r="C263" t="s">
        <v>519</v>
      </c>
      <c r="F263">
        <v>44.1</v>
      </c>
      <c r="G263">
        <v>40.774715423583999</v>
      </c>
      <c r="H263">
        <v>41.985134124755902</v>
      </c>
      <c r="I263">
        <v>43.193511962890597</v>
      </c>
      <c r="J263">
        <v>44.399169921875</v>
      </c>
      <c r="K263">
        <v>42.6</v>
      </c>
      <c r="L263">
        <v>46.799610137939503</v>
      </c>
      <c r="M263">
        <v>47.992946624755902</v>
      </c>
      <c r="N263">
        <v>49.2</v>
      </c>
      <c r="O263">
        <v>50.4</v>
      </c>
      <c r="P263">
        <v>51.5</v>
      </c>
      <c r="Q263">
        <v>52.6</v>
      </c>
      <c r="R263">
        <v>49.6</v>
      </c>
      <c r="S263">
        <v>54.8</v>
      </c>
      <c r="T263">
        <v>55.8</v>
      </c>
      <c r="U263">
        <v>57.2</v>
      </c>
      <c r="V263">
        <v>58.4</v>
      </c>
      <c r="W263">
        <v>59.6</v>
      </c>
      <c r="X263">
        <v>60.8</v>
      </c>
      <c r="Y263">
        <v>62</v>
      </c>
      <c r="Z263">
        <v>52.4</v>
      </c>
      <c r="AA263">
        <v>75.599999999999994</v>
      </c>
      <c r="AB263">
        <v>66.099999999999994</v>
      </c>
      <c r="AC263">
        <v>67.400000000000006</v>
      </c>
      <c r="AD263">
        <v>68.900000000000006</v>
      </c>
      <c r="AE263">
        <v>79.2</v>
      </c>
      <c r="AF263">
        <v>62</v>
      </c>
      <c r="AG263">
        <v>72.8</v>
      </c>
      <c r="AH263">
        <v>73.900000000000006</v>
      </c>
      <c r="AI263">
        <v>74.900000000000006</v>
      </c>
      <c r="AJ263">
        <v>76</v>
      </c>
      <c r="AK263">
        <v>83.6</v>
      </c>
      <c r="AL263">
        <v>86.3</v>
      </c>
    </row>
    <row r="264" spans="1:38" x14ac:dyDescent="0.3">
      <c r="A264" t="s">
        <v>463</v>
      </c>
      <c r="B264" t="s">
        <v>368</v>
      </c>
      <c r="C264" t="s">
        <v>519</v>
      </c>
      <c r="J264">
        <v>57.6</v>
      </c>
      <c r="K264">
        <v>69.483352661132798</v>
      </c>
      <c r="L264">
        <v>64.900000000000006</v>
      </c>
      <c r="M264">
        <v>71.331787109375</v>
      </c>
      <c r="N264">
        <v>72.400000000000006</v>
      </c>
      <c r="O264">
        <v>70.2</v>
      </c>
      <c r="P264">
        <v>76.7</v>
      </c>
      <c r="Q264">
        <v>78.8</v>
      </c>
      <c r="R264">
        <v>80.599999999999994</v>
      </c>
      <c r="S264">
        <v>80.8</v>
      </c>
      <c r="T264">
        <v>80.7</v>
      </c>
      <c r="U264">
        <v>82</v>
      </c>
      <c r="V264">
        <v>81.900000000000006</v>
      </c>
      <c r="W264">
        <v>82.6</v>
      </c>
      <c r="X264">
        <v>82.8</v>
      </c>
      <c r="Y264">
        <v>83.6</v>
      </c>
      <c r="Z264">
        <v>85.2</v>
      </c>
      <c r="AA264">
        <v>85.2</v>
      </c>
      <c r="AB264">
        <v>85.9</v>
      </c>
      <c r="AC264">
        <v>85.3</v>
      </c>
      <c r="AD264">
        <v>83.9</v>
      </c>
      <c r="AE264">
        <v>84.4</v>
      </c>
      <c r="AF264">
        <v>84.7</v>
      </c>
      <c r="AG264">
        <v>85</v>
      </c>
      <c r="AH264">
        <v>90</v>
      </c>
      <c r="AI264">
        <v>89.3</v>
      </c>
      <c r="AJ264">
        <v>86.5</v>
      </c>
      <c r="AK264">
        <v>87.7</v>
      </c>
      <c r="AL264">
        <v>90.2</v>
      </c>
    </row>
    <row r="265" spans="1:38" x14ac:dyDescent="0.3">
      <c r="A265" t="s">
        <v>9</v>
      </c>
      <c r="B265" t="s">
        <v>407</v>
      </c>
      <c r="C265" t="s">
        <v>519</v>
      </c>
      <c r="D265">
        <v>13.9</v>
      </c>
      <c r="E265">
        <v>12.752702713012701</v>
      </c>
      <c r="F265">
        <v>19.2</v>
      </c>
      <c r="G265">
        <v>14.213207244873001</v>
      </c>
      <c r="H265">
        <v>14.941759109497101</v>
      </c>
      <c r="I265">
        <v>15.668272018432599</v>
      </c>
      <c r="J265">
        <v>17.3</v>
      </c>
      <c r="K265">
        <v>17.1124591827393</v>
      </c>
      <c r="L265">
        <v>19</v>
      </c>
      <c r="M265">
        <v>18.540245056152301</v>
      </c>
      <c r="N265">
        <v>16.7</v>
      </c>
      <c r="O265">
        <v>20.2</v>
      </c>
      <c r="P265">
        <v>17.399999999999999</v>
      </c>
      <c r="Q265">
        <v>18.5</v>
      </c>
      <c r="R265">
        <v>20.3</v>
      </c>
      <c r="S265">
        <v>23.3</v>
      </c>
      <c r="T265">
        <v>24.1</v>
      </c>
      <c r="U265">
        <v>18.5</v>
      </c>
      <c r="V265">
        <v>25.7</v>
      </c>
      <c r="W265">
        <v>26.6</v>
      </c>
      <c r="X265">
        <v>22</v>
      </c>
      <c r="Y265">
        <v>28.3</v>
      </c>
      <c r="Z265">
        <v>29.2</v>
      </c>
      <c r="AA265">
        <v>30.1</v>
      </c>
      <c r="AB265">
        <v>27.9</v>
      </c>
      <c r="AC265">
        <v>31.1</v>
      </c>
      <c r="AD265">
        <v>35.4</v>
      </c>
      <c r="AE265">
        <v>40.299999999999997</v>
      </c>
      <c r="AF265">
        <v>40.200000000000003</v>
      </c>
      <c r="AG265">
        <v>43</v>
      </c>
      <c r="AH265">
        <v>44.6</v>
      </c>
      <c r="AI265">
        <v>46.7</v>
      </c>
      <c r="AJ265">
        <v>47.8</v>
      </c>
      <c r="AK265">
        <v>51.1</v>
      </c>
      <c r="AL265">
        <v>53.6</v>
      </c>
    </row>
    <row r="266" spans="1:38" x14ac:dyDescent="0.3">
      <c r="A266" t="s">
        <v>703</v>
      </c>
      <c r="B266" t="s">
        <v>324</v>
      </c>
      <c r="C266" t="s">
        <v>519</v>
      </c>
      <c r="F266">
        <v>28.2</v>
      </c>
      <c r="G266">
        <v>31.163667678833001</v>
      </c>
      <c r="H266">
        <v>28.1</v>
      </c>
      <c r="I266">
        <v>31.948579788208001</v>
      </c>
      <c r="J266">
        <v>32.337295532226598</v>
      </c>
      <c r="K266">
        <v>32.722610473632798</v>
      </c>
      <c r="L266">
        <v>33.103847503662102</v>
      </c>
      <c r="M266">
        <v>38.4</v>
      </c>
      <c r="N266">
        <v>33.700000000000003</v>
      </c>
      <c r="O266">
        <v>34.200000000000003</v>
      </c>
      <c r="P266">
        <v>34.200000000000003</v>
      </c>
      <c r="Q266">
        <v>35.1</v>
      </c>
      <c r="R266">
        <v>35.6</v>
      </c>
      <c r="S266">
        <v>36.1</v>
      </c>
      <c r="T266">
        <v>37.200000000000003</v>
      </c>
      <c r="U266">
        <v>37.200000000000003</v>
      </c>
      <c r="V266">
        <v>37.700000000000003</v>
      </c>
      <c r="W266">
        <v>43.4</v>
      </c>
      <c r="X266">
        <v>38.9</v>
      </c>
      <c r="Y266">
        <v>36.9</v>
      </c>
      <c r="Z266">
        <v>44</v>
      </c>
      <c r="AA266">
        <v>40.6</v>
      </c>
      <c r="AB266">
        <v>32.299999999999997</v>
      </c>
      <c r="AC266">
        <v>33.700000000000003</v>
      </c>
      <c r="AD266">
        <v>42.5</v>
      </c>
      <c r="AE266">
        <v>44</v>
      </c>
      <c r="AF266">
        <v>45.4</v>
      </c>
      <c r="AG266">
        <v>46.7</v>
      </c>
      <c r="AH266">
        <v>52.7</v>
      </c>
      <c r="AI266">
        <v>49</v>
      </c>
      <c r="AJ266">
        <v>50.1</v>
      </c>
      <c r="AK266">
        <v>62</v>
      </c>
      <c r="AL266">
        <v>62</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47AAE-F3AF-4175-8DD1-D45F035C354D}">
  <dimension ref="A1:B33"/>
  <sheetViews>
    <sheetView tabSelected="1" workbookViewId="0">
      <selection activeCell="E22" sqref="E22"/>
    </sheetView>
  </sheetViews>
  <sheetFormatPr defaultRowHeight="14.4" x14ac:dyDescent="0.3"/>
  <cols>
    <col min="1" max="1" width="13" customWidth="1"/>
    <col min="2" max="2" width="17.88671875" customWidth="1"/>
  </cols>
  <sheetData>
    <row r="1" spans="1:2" x14ac:dyDescent="0.3">
      <c r="A1" t="s">
        <v>705</v>
      </c>
      <c r="B1" t="s">
        <v>706</v>
      </c>
    </row>
    <row r="2" spans="1:2" x14ac:dyDescent="0.3">
      <c r="A2" t="s">
        <v>306</v>
      </c>
      <c r="B2">
        <v>50.9</v>
      </c>
    </row>
    <row r="3" spans="1:2" x14ac:dyDescent="0.3">
      <c r="A3" t="s">
        <v>527</v>
      </c>
      <c r="B3">
        <v>49.811309814453097</v>
      </c>
    </row>
    <row r="4" spans="1:2" x14ac:dyDescent="0.3">
      <c r="A4" t="s">
        <v>578</v>
      </c>
      <c r="B4">
        <v>51.408775329589801</v>
      </c>
    </row>
    <row r="5" spans="1:2" x14ac:dyDescent="0.3">
      <c r="A5" t="s">
        <v>641</v>
      </c>
      <c r="B5">
        <v>53.0035209655762</v>
      </c>
    </row>
    <row r="6" spans="1:2" x14ac:dyDescent="0.3">
      <c r="A6" t="s">
        <v>692</v>
      </c>
      <c r="B6">
        <v>54.594863891601598</v>
      </c>
    </row>
    <row r="7" spans="1:2" x14ac:dyDescent="0.3">
      <c r="A7" t="s">
        <v>189</v>
      </c>
      <c r="B7">
        <v>56.182132720947301</v>
      </c>
    </row>
    <row r="8" spans="1:2" x14ac:dyDescent="0.3">
      <c r="A8" t="s">
        <v>255</v>
      </c>
      <c r="B8">
        <v>60.1</v>
      </c>
    </row>
    <row r="9" spans="1:2" x14ac:dyDescent="0.3">
      <c r="A9" t="s">
        <v>548</v>
      </c>
      <c r="B9">
        <v>60.3</v>
      </c>
    </row>
    <row r="10" spans="1:2" x14ac:dyDescent="0.3">
      <c r="A10" t="s">
        <v>600</v>
      </c>
      <c r="B10">
        <v>62</v>
      </c>
    </row>
    <row r="11" spans="1:2" x14ac:dyDescent="0.3">
      <c r="A11" t="s">
        <v>97</v>
      </c>
      <c r="B11">
        <v>62.3</v>
      </c>
    </row>
    <row r="12" spans="1:2" x14ac:dyDescent="0.3">
      <c r="A12" t="s">
        <v>157</v>
      </c>
      <c r="B12">
        <v>65.400000000000006</v>
      </c>
    </row>
    <row r="13" spans="1:2" x14ac:dyDescent="0.3">
      <c r="A13" t="s">
        <v>212</v>
      </c>
      <c r="B13">
        <v>64.400000000000006</v>
      </c>
    </row>
    <row r="14" spans="1:2" x14ac:dyDescent="0.3">
      <c r="A14" t="s">
        <v>281</v>
      </c>
      <c r="B14">
        <v>68.8</v>
      </c>
    </row>
    <row r="15" spans="1:2" x14ac:dyDescent="0.3">
      <c r="A15" t="s">
        <v>493</v>
      </c>
      <c r="B15">
        <v>67.900000000000006</v>
      </c>
    </row>
    <row r="16" spans="1:2" x14ac:dyDescent="0.3">
      <c r="A16" t="s">
        <v>553</v>
      </c>
      <c r="B16">
        <v>72.3</v>
      </c>
    </row>
    <row r="17" spans="1:2" x14ac:dyDescent="0.3">
      <c r="A17" t="s">
        <v>606</v>
      </c>
      <c r="B17">
        <v>74.099999999999994</v>
      </c>
    </row>
    <row r="18" spans="1:2" x14ac:dyDescent="0.3">
      <c r="A18" t="s">
        <v>100</v>
      </c>
      <c r="B18">
        <v>75</v>
      </c>
    </row>
    <row r="19" spans="1:2" x14ac:dyDescent="0.3">
      <c r="A19" t="s">
        <v>614</v>
      </c>
      <c r="B19">
        <v>76.3</v>
      </c>
    </row>
    <row r="20" spans="1:2" x14ac:dyDescent="0.3">
      <c r="A20" t="s">
        <v>665</v>
      </c>
      <c r="B20">
        <v>79.5</v>
      </c>
    </row>
    <row r="21" spans="1:2" x14ac:dyDescent="0.3">
      <c r="A21" t="s">
        <v>18</v>
      </c>
      <c r="B21">
        <v>79.900000000000006</v>
      </c>
    </row>
    <row r="22" spans="1:2" x14ac:dyDescent="0.3">
      <c r="A22" t="s">
        <v>228</v>
      </c>
      <c r="B22">
        <v>83.1</v>
      </c>
    </row>
    <row r="23" spans="1:2" x14ac:dyDescent="0.3">
      <c r="A23" t="s">
        <v>292</v>
      </c>
      <c r="B23">
        <v>85.1</v>
      </c>
    </row>
    <row r="24" spans="1:2" x14ac:dyDescent="0.3">
      <c r="A24" t="s">
        <v>343</v>
      </c>
      <c r="B24">
        <v>88</v>
      </c>
    </row>
    <row r="25" spans="1:2" x14ac:dyDescent="0.3">
      <c r="A25" t="s">
        <v>398</v>
      </c>
      <c r="B25">
        <v>89.6</v>
      </c>
    </row>
    <row r="26" spans="1:2" x14ac:dyDescent="0.3">
      <c r="A26" t="s">
        <v>619</v>
      </c>
      <c r="B26">
        <v>91.8</v>
      </c>
    </row>
    <row r="27" spans="1:2" x14ac:dyDescent="0.3">
      <c r="A27" t="s">
        <v>669</v>
      </c>
      <c r="B27">
        <v>95.7</v>
      </c>
    </row>
    <row r="28" spans="1:2" x14ac:dyDescent="0.3">
      <c r="A28" t="s">
        <v>22</v>
      </c>
      <c r="B28">
        <v>95.9</v>
      </c>
    </row>
    <row r="29" spans="1:2" x14ac:dyDescent="0.3">
      <c r="A29" t="s">
        <v>683</v>
      </c>
      <c r="B29">
        <v>96.5</v>
      </c>
    </row>
    <row r="30" spans="1:2" x14ac:dyDescent="0.3">
      <c r="A30" t="s">
        <v>32</v>
      </c>
      <c r="B30">
        <v>99.6</v>
      </c>
    </row>
    <row r="31" spans="1:2" x14ac:dyDescent="0.3">
      <c r="A31" t="s">
        <v>94</v>
      </c>
      <c r="B31">
        <v>99.2</v>
      </c>
    </row>
    <row r="32" spans="1:2" x14ac:dyDescent="0.3">
      <c r="A32" t="s">
        <v>154</v>
      </c>
      <c r="B32">
        <v>99.5</v>
      </c>
    </row>
    <row r="33" spans="1:2" x14ac:dyDescent="0.3">
      <c r="A33" t="s">
        <v>357</v>
      </c>
      <c r="B33">
        <v>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A12FE-10D6-4D07-AD14-99E7F909C144}">
  <dimension ref="A1:G33"/>
  <sheetViews>
    <sheetView zoomScale="61" workbookViewId="0">
      <selection sqref="A1:B33"/>
    </sheetView>
  </sheetViews>
  <sheetFormatPr defaultRowHeight="14.4" x14ac:dyDescent="0.3"/>
  <cols>
    <col min="1" max="1" width="19.77734375" customWidth="1"/>
    <col min="2" max="3" width="32.109375" bestFit="1" customWidth="1"/>
    <col min="4" max="4" width="16.109375" customWidth="1"/>
    <col min="5" max="5" width="17.77734375" customWidth="1"/>
    <col min="6" max="6" width="25.5546875" customWidth="1"/>
    <col min="7" max="7" width="19.44140625" customWidth="1"/>
    <col min="8" max="12" width="12" bestFit="1" customWidth="1"/>
    <col min="13" max="14" width="5" bestFit="1" customWidth="1"/>
    <col min="15" max="15" width="3" bestFit="1" customWidth="1"/>
    <col min="16" max="22" width="5" bestFit="1" customWidth="1"/>
    <col min="23" max="23" width="3" bestFit="1" customWidth="1"/>
    <col min="24" max="28" width="5" bestFit="1" customWidth="1"/>
    <col min="29" max="29" width="3" bestFit="1" customWidth="1"/>
    <col min="30" max="39" width="5" bestFit="1" customWidth="1"/>
  </cols>
  <sheetData>
    <row r="1" spans="1:7" x14ac:dyDescent="0.3">
      <c r="A1" t="s">
        <v>705</v>
      </c>
      <c r="B1" t="s">
        <v>706</v>
      </c>
      <c r="C1" t="s">
        <v>707</v>
      </c>
      <c r="D1" t="s">
        <v>708</v>
      </c>
      <c r="E1" t="s">
        <v>709</v>
      </c>
    </row>
    <row r="2" spans="1:7" x14ac:dyDescent="0.3">
      <c r="A2" t="s">
        <v>306</v>
      </c>
      <c r="B2">
        <v>50.9</v>
      </c>
      <c r="C2">
        <f>B2/100</f>
        <v>0.50900000000000001</v>
      </c>
      <c r="D2">
        <f>C3</f>
        <v>0.49811309814453097</v>
      </c>
      <c r="E2">
        <f>C2*(1-C2)</f>
        <v>0.249919</v>
      </c>
      <c r="F2" cm="1">
        <f t="array" ref="F2:G6">LINEST(D2:D32, E2:E32, FALSE, TRUE)</f>
        <v>3.2753792681228107</v>
      </c>
      <c r="G2">
        <v>0</v>
      </c>
    </row>
    <row r="3" spans="1:7" x14ac:dyDescent="0.3">
      <c r="A3" t="s">
        <v>527</v>
      </c>
      <c r="B3">
        <v>49.811309814453097</v>
      </c>
      <c r="C3">
        <f t="shared" ref="C3:C33" si="0">B3/100</f>
        <v>0.49811309814453097</v>
      </c>
      <c r="D3">
        <f t="shared" ref="D3:D33" si="1">C4</f>
        <v>0.51408775329589806</v>
      </c>
      <c r="E3">
        <f t="shared" ref="E3:E33" si="2">C3*(1-C3)</f>
        <v>0.24999643960138782</v>
      </c>
      <c r="F3">
        <v>0.48275191524517685</v>
      </c>
      <c r="G3" t="e">
        <v>#N/A</v>
      </c>
    </row>
    <row r="4" spans="1:7" x14ac:dyDescent="0.3">
      <c r="A4" t="s">
        <v>578</v>
      </c>
      <c r="B4">
        <v>51.408775329589801</v>
      </c>
      <c r="C4">
        <f t="shared" si="0"/>
        <v>0.51408775329589806</v>
      </c>
      <c r="D4">
        <f t="shared" si="1"/>
        <v>0.53003520965576201</v>
      </c>
      <c r="E4">
        <f t="shared" si="2"/>
        <v>0.2498015352070739</v>
      </c>
      <c r="F4">
        <v>0.60543772856268763</v>
      </c>
      <c r="G4">
        <v>0.49637372417142017</v>
      </c>
    </row>
    <row r="5" spans="1:7" x14ac:dyDescent="0.3">
      <c r="A5" t="s">
        <v>641</v>
      </c>
      <c r="B5">
        <v>53.0035209655762</v>
      </c>
      <c r="C5">
        <f t="shared" si="0"/>
        <v>0.53003520965576201</v>
      </c>
      <c r="D5">
        <f t="shared" si="1"/>
        <v>0.54594863891601597</v>
      </c>
      <c r="E5">
        <f t="shared" si="2"/>
        <v>0.24909788618093442</v>
      </c>
      <c r="F5">
        <v>46.033625543354489</v>
      </c>
      <c r="G5">
        <v>30</v>
      </c>
    </row>
    <row r="6" spans="1:7" x14ac:dyDescent="0.3">
      <c r="A6" t="s">
        <v>692</v>
      </c>
      <c r="B6">
        <v>54.594863891601598</v>
      </c>
      <c r="C6">
        <f t="shared" si="0"/>
        <v>0.54594863891601597</v>
      </c>
      <c r="D6">
        <f t="shared" si="1"/>
        <v>0.56182132720947298</v>
      </c>
      <c r="E6">
        <f t="shared" si="2"/>
        <v>0.24788872258176559</v>
      </c>
      <c r="F6">
        <v>11.342081098714306</v>
      </c>
      <c r="G6">
        <v>7.3916062214341531</v>
      </c>
    </row>
    <row r="7" spans="1:7" x14ac:dyDescent="0.3">
      <c r="A7" t="s">
        <v>189</v>
      </c>
      <c r="B7">
        <v>56.182132720947301</v>
      </c>
      <c r="C7">
        <f t="shared" si="0"/>
        <v>0.56182132720947298</v>
      </c>
      <c r="D7">
        <f t="shared" si="1"/>
        <v>0.60099999999999998</v>
      </c>
      <c r="E7">
        <f t="shared" si="2"/>
        <v>0.24617812350205928</v>
      </c>
    </row>
    <row r="8" spans="1:7" x14ac:dyDescent="0.3">
      <c r="A8" t="s">
        <v>255</v>
      </c>
      <c r="B8">
        <v>60.1</v>
      </c>
      <c r="C8">
        <f t="shared" si="0"/>
        <v>0.60099999999999998</v>
      </c>
      <c r="D8">
        <f t="shared" si="1"/>
        <v>0.60299999999999998</v>
      </c>
      <c r="E8">
        <f t="shared" si="2"/>
        <v>0.23979900000000001</v>
      </c>
    </row>
    <row r="9" spans="1:7" x14ac:dyDescent="0.3">
      <c r="A9" t="s">
        <v>548</v>
      </c>
      <c r="B9">
        <v>60.3</v>
      </c>
      <c r="C9">
        <f t="shared" si="0"/>
        <v>0.60299999999999998</v>
      </c>
      <c r="D9">
        <f t="shared" si="1"/>
        <v>0.62</v>
      </c>
      <c r="E9">
        <f t="shared" si="2"/>
        <v>0.23939099999999999</v>
      </c>
    </row>
    <row r="10" spans="1:7" x14ac:dyDescent="0.3">
      <c r="A10" t="s">
        <v>600</v>
      </c>
      <c r="B10">
        <v>62</v>
      </c>
      <c r="C10">
        <f t="shared" si="0"/>
        <v>0.62</v>
      </c>
      <c r="D10">
        <f t="shared" si="1"/>
        <v>0.623</v>
      </c>
      <c r="E10">
        <f t="shared" si="2"/>
        <v>0.2356</v>
      </c>
    </row>
    <row r="11" spans="1:7" x14ac:dyDescent="0.3">
      <c r="A11" t="s">
        <v>97</v>
      </c>
      <c r="B11">
        <v>62.3</v>
      </c>
      <c r="C11">
        <f t="shared" si="0"/>
        <v>0.623</v>
      </c>
      <c r="D11">
        <f t="shared" si="1"/>
        <v>0.65400000000000003</v>
      </c>
      <c r="E11">
        <f t="shared" si="2"/>
        <v>0.234871</v>
      </c>
    </row>
    <row r="12" spans="1:7" x14ac:dyDescent="0.3">
      <c r="A12" t="s">
        <v>157</v>
      </c>
      <c r="B12">
        <v>65.400000000000006</v>
      </c>
      <c r="C12">
        <f t="shared" si="0"/>
        <v>0.65400000000000003</v>
      </c>
      <c r="D12">
        <f t="shared" si="1"/>
        <v>0.64400000000000002</v>
      </c>
      <c r="E12">
        <f t="shared" si="2"/>
        <v>0.22628399999999999</v>
      </c>
    </row>
    <row r="13" spans="1:7" x14ac:dyDescent="0.3">
      <c r="A13" t="s">
        <v>212</v>
      </c>
      <c r="B13">
        <v>64.400000000000006</v>
      </c>
      <c r="C13">
        <f t="shared" si="0"/>
        <v>0.64400000000000002</v>
      </c>
      <c r="D13">
        <f t="shared" si="1"/>
        <v>0.68799999999999994</v>
      </c>
      <c r="E13">
        <f t="shared" si="2"/>
        <v>0.229264</v>
      </c>
    </row>
    <row r="14" spans="1:7" x14ac:dyDescent="0.3">
      <c r="A14" t="s">
        <v>281</v>
      </c>
      <c r="B14">
        <v>68.8</v>
      </c>
      <c r="C14">
        <f t="shared" si="0"/>
        <v>0.68799999999999994</v>
      </c>
      <c r="D14">
        <f t="shared" si="1"/>
        <v>0.67900000000000005</v>
      </c>
      <c r="E14">
        <f t="shared" si="2"/>
        <v>0.21465600000000001</v>
      </c>
    </row>
    <row r="15" spans="1:7" x14ac:dyDescent="0.3">
      <c r="A15" t="s">
        <v>493</v>
      </c>
      <c r="B15">
        <v>67.900000000000006</v>
      </c>
      <c r="C15">
        <f t="shared" si="0"/>
        <v>0.67900000000000005</v>
      </c>
      <c r="D15">
        <f t="shared" si="1"/>
        <v>0.72299999999999998</v>
      </c>
      <c r="E15">
        <f t="shared" si="2"/>
        <v>0.21795899999999999</v>
      </c>
    </row>
    <row r="16" spans="1:7" x14ac:dyDescent="0.3">
      <c r="A16" t="s">
        <v>553</v>
      </c>
      <c r="B16">
        <v>72.3</v>
      </c>
      <c r="C16">
        <f t="shared" si="0"/>
        <v>0.72299999999999998</v>
      </c>
      <c r="D16">
        <f t="shared" si="1"/>
        <v>0.74099999999999999</v>
      </c>
      <c r="E16">
        <f t="shared" si="2"/>
        <v>0.200271</v>
      </c>
    </row>
    <row r="17" spans="1:5" x14ac:dyDescent="0.3">
      <c r="A17" t="s">
        <v>606</v>
      </c>
      <c r="B17">
        <v>74.099999999999994</v>
      </c>
      <c r="C17">
        <f t="shared" si="0"/>
        <v>0.74099999999999999</v>
      </c>
      <c r="D17">
        <f t="shared" si="1"/>
        <v>0.75</v>
      </c>
      <c r="E17">
        <f t="shared" si="2"/>
        <v>0.19191900000000001</v>
      </c>
    </row>
    <row r="18" spans="1:5" x14ac:dyDescent="0.3">
      <c r="A18" t="s">
        <v>100</v>
      </c>
      <c r="B18">
        <v>75</v>
      </c>
      <c r="C18">
        <f t="shared" si="0"/>
        <v>0.75</v>
      </c>
      <c r="D18">
        <f t="shared" si="1"/>
        <v>0.76300000000000001</v>
      </c>
      <c r="E18">
        <f t="shared" si="2"/>
        <v>0.1875</v>
      </c>
    </row>
    <row r="19" spans="1:5" x14ac:dyDescent="0.3">
      <c r="A19" t="s">
        <v>614</v>
      </c>
      <c r="B19">
        <v>76.3</v>
      </c>
      <c r="C19">
        <f t="shared" si="0"/>
        <v>0.76300000000000001</v>
      </c>
      <c r="D19">
        <f t="shared" si="1"/>
        <v>0.79500000000000004</v>
      </c>
      <c r="E19">
        <f t="shared" si="2"/>
        <v>0.18083099999999999</v>
      </c>
    </row>
    <row r="20" spans="1:5" x14ac:dyDescent="0.3">
      <c r="A20" t="s">
        <v>665</v>
      </c>
      <c r="B20">
        <v>79.5</v>
      </c>
      <c r="C20">
        <f t="shared" si="0"/>
        <v>0.79500000000000004</v>
      </c>
      <c r="D20">
        <f t="shared" si="1"/>
        <v>0.79900000000000004</v>
      </c>
      <c r="E20">
        <f t="shared" si="2"/>
        <v>0.16297499999999998</v>
      </c>
    </row>
    <row r="21" spans="1:5" x14ac:dyDescent="0.3">
      <c r="A21" t="s">
        <v>18</v>
      </c>
      <c r="B21">
        <v>79.900000000000006</v>
      </c>
      <c r="C21">
        <f t="shared" si="0"/>
        <v>0.79900000000000004</v>
      </c>
      <c r="D21">
        <f t="shared" si="1"/>
        <v>0.83099999999999996</v>
      </c>
      <c r="E21">
        <f t="shared" si="2"/>
        <v>0.16059899999999996</v>
      </c>
    </row>
    <row r="22" spans="1:5" x14ac:dyDescent="0.3">
      <c r="A22" t="s">
        <v>228</v>
      </c>
      <c r="B22">
        <v>83.1</v>
      </c>
      <c r="C22">
        <f t="shared" si="0"/>
        <v>0.83099999999999996</v>
      </c>
      <c r="D22">
        <f t="shared" si="1"/>
        <v>0.85099999999999998</v>
      </c>
      <c r="E22">
        <f t="shared" si="2"/>
        <v>0.14043900000000004</v>
      </c>
    </row>
    <row r="23" spans="1:5" x14ac:dyDescent="0.3">
      <c r="A23" t="s">
        <v>292</v>
      </c>
      <c r="B23">
        <v>85.1</v>
      </c>
      <c r="C23">
        <f t="shared" si="0"/>
        <v>0.85099999999999998</v>
      </c>
      <c r="D23">
        <f t="shared" si="1"/>
        <v>0.88</v>
      </c>
      <c r="E23">
        <f t="shared" si="2"/>
        <v>0.12679900000000002</v>
      </c>
    </row>
    <row r="24" spans="1:5" x14ac:dyDescent="0.3">
      <c r="A24" t="s">
        <v>343</v>
      </c>
      <c r="B24">
        <v>88</v>
      </c>
      <c r="C24">
        <f t="shared" si="0"/>
        <v>0.88</v>
      </c>
      <c r="D24">
        <f t="shared" si="1"/>
        <v>0.89599999999999991</v>
      </c>
      <c r="E24">
        <f t="shared" si="2"/>
        <v>0.1056</v>
      </c>
    </row>
    <row r="25" spans="1:5" x14ac:dyDescent="0.3">
      <c r="A25" t="s">
        <v>398</v>
      </c>
      <c r="B25">
        <v>89.6</v>
      </c>
      <c r="C25">
        <f t="shared" si="0"/>
        <v>0.89599999999999991</v>
      </c>
      <c r="D25">
        <f t="shared" si="1"/>
        <v>0.91799999999999993</v>
      </c>
      <c r="E25">
        <f t="shared" si="2"/>
        <v>9.3184000000000072E-2</v>
      </c>
    </row>
    <row r="26" spans="1:5" x14ac:dyDescent="0.3">
      <c r="A26" t="s">
        <v>619</v>
      </c>
      <c r="B26">
        <v>91.8</v>
      </c>
      <c r="C26">
        <f t="shared" si="0"/>
        <v>0.91799999999999993</v>
      </c>
      <c r="D26">
        <f t="shared" si="1"/>
        <v>0.95700000000000007</v>
      </c>
      <c r="E26">
        <f t="shared" si="2"/>
        <v>7.5276000000000065E-2</v>
      </c>
    </row>
    <row r="27" spans="1:5" x14ac:dyDescent="0.3">
      <c r="A27" t="s">
        <v>669</v>
      </c>
      <c r="B27">
        <v>95.7</v>
      </c>
      <c r="C27">
        <f t="shared" si="0"/>
        <v>0.95700000000000007</v>
      </c>
      <c r="D27">
        <f t="shared" si="1"/>
        <v>0.95900000000000007</v>
      </c>
      <c r="E27">
        <f t="shared" si="2"/>
        <v>4.1150999999999931E-2</v>
      </c>
    </row>
    <row r="28" spans="1:5" x14ac:dyDescent="0.3">
      <c r="A28" t="s">
        <v>22</v>
      </c>
      <c r="B28">
        <v>95.9</v>
      </c>
      <c r="C28">
        <f t="shared" si="0"/>
        <v>0.95900000000000007</v>
      </c>
      <c r="D28">
        <f t="shared" si="1"/>
        <v>0.96499999999999997</v>
      </c>
      <c r="E28">
        <f t="shared" si="2"/>
        <v>3.931899999999993E-2</v>
      </c>
    </row>
    <row r="29" spans="1:5" x14ac:dyDescent="0.3">
      <c r="A29" t="s">
        <v>683</v>
      </c>
      <c r="B29">
        <v>96.5</v>
      </c>
      <c r="C29">
        <f t="shared" si="0"/>
        <v>0.96499999999999997</v>
      </c>
      <c r="D29">
        <f t="shared" si="1"/>
        <v>0.996</v>
      </c>
      <c r="E29">
        <f t="shared" si="2"/>
        <v>3.3775000000000027E-2</v>
      </c>
    </row>
    <row r="30" spans="1:5" x14ac:dyDescent="0.3">
      <c r="A30" t="s">
        <v>32</v>
      </c>
      <c r="B30">
        <v>99.6</v>
      </c>
      <c r="C30">
        <f t="shared" si="0"/>
        <v>0.996</v>
      </c>
      <c r="D30">
        <f t="shared" si="1"/>
        <v>0.99199999999999999</v>
      </c>
      <c r="E30">
        <f t="shared" si="2"/>
        <v>3.9840000000000032E-3</v>
      </c>
    </row>
    <row r="31" spans="1:5" x14ac:dyDescent="0.3">
      <c r="A31" t="s">
        <v>94</v>
      </c>
      <c r="B31">
        <v>99.2</v>
      </c>
      <c r="C31">
        <f t="shared" si="0"/>
        <v>0.99199999999999999</v>
      </c>
      <c r="D31">
        <f t="shared" si="1"/>
        <v>0.995</v>
      </c>
      <c r="E31">
        <f t="shared" si="2"/>
        <v>7.9360000000000073E-3</v>
      </c>
    </row>
    <row r="32" spans="1:5" x14ac:dyDescent="0.3">
      <c r="A32" t="s">
        <v>154</v>
      </c>
      <c r="B32">
        <v>99.5</v>
      </c>
      <c r="C32">
        <f t="shared" si="0"/>
        <v>0.995</v>
      </c>
      <c r="D32">
        <f t="shared" si="1"/>
        <v>0.99900000000000011</v>
      </c>
      <c r="E32">
        <f t="shared" si="2"/>
        <v>4.9750000000000046E-3</v>
      </c>
    </row>
    <row r="33" spans="1:5" x14ac:dyDescent="0.3">
      <c r="A33" t="s">
        <v>357</v>
      </c>
      <c r="B33">
        <v>99.9</v>
      </c>
      <c r="C33">
        <f t="shared" si="0"/>
        <v>0.99900000000000011</v>
      </c>
      <c r="D33">
        <f t="shared" si="1"/>
        <v>0</v>
      </c>
      <c r="E33">
        <f t="shared" si="2"/>
        <v>9.9899999999989017E-4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458A-1681-4D36-9C8D-6B8EBEAC8F26}">
  <dimension ref="A1:G33"/>
  <sheetViews>
    <sheetView workbookViewId="0">
      <selection activeCell="C21" sqref="C21"/>
    </sheetView>
  </sheetViews>
  <sheetFormatPr defaultRowHeight="14.4" x14ac:dyDescent="0.3"/>
  <cols>
    <col min="1" max="1" width="5" bestFit="1" customWidth="1"/>
    <col min="2" max="2" width="15.5546875" bestFit="1" customWidth="1"/>
    <col min="3" max="5" width="12" bestFit="1" customWidth="1"/>
    <col min="6" max="6" width="28.77734375" bestFit="1" customWidth="1"/>
    <col min="7" max="7" width="28.6640625" bestFit="1" customWidth="1"/>
  </cols>
  <sheetData>
    <row r="1" spans="1:7" x14ac:dyDescent="0.3">
      <c r="A1" t="s">
        <v>705</v>
      </c>
      <c r="B1" t="s">
        <v>706</v>
      </c>
      <c r="C1" t="s">
        <v>707</v>
      </c>
      <c r="D1" t="s">
        <v>708</v>
      </c>
      <c r="E1" t="s">
        <v>709</v>
      </c>
      <c r="F1" t="s">
        <v>710</v>
      </c>
      <c r="G1" t="s">
        <v>711</v>
      </c>
    </row>
    <row r="2" spans="1:7" x14ac:dyDescent="0.3">
      <c r="A2" t="s">
        <v>306</v>
      </c>
      <c r="B2">
        <v>50.9</v>
      </c>
      <c r="C2">
        <v>0.50900000000000001</v>
      </c>
      <c r="D2">
        <v>0.49811309814453097</v>
      </c>
      <c r="E2">
        <v>0.249919</v>
      </c>
      <c r="F2" t="s">
        <v>712</v>
      </c>
      <c r="G2" t="s">
        <v>717</v>
      </c>
    </row>
    <row r="3" spans="1:7" x14ac:dyDescent="0.3">
      <c r="A3" t="s">
        <v>527</v>
      </c>
      <c r="B3">
        <v>49.811309814453097</v>
      </c>
      <c r="C3">
        <v>0.49811309814453097</v>
      </c>
      <c r="D3">
        <v>0.51408775329589806</v>
      </c>
      <c r="E3">
        <v>0.24999643960138782</v>
      </c>
      <c r="F3" t="s">
        <v>713</v>
      </c>
      <c r="G3" t="s">
        <v>718</v>
      </c>
    </row>
    <row r="4" spans="1:7" x14ac:dyDescent="0.3">
      <c r="A4" t="s">
        <v>578</v>
      </c>
      <c r="B4">
        <v>51.408775329589801</v>
      </c>
      <c r="C4">
        <v>0.51408775329589806</v>
      </c>
      <c r="D4">
        <v>0.53003520965576201</v>
      </c>
      <c r="E4">
        <v>0.2498015352070739</v>
      </c>
      <c r="F4" t="s">
        <v>714</v>
      </c>
      <c r="G4" t="s">
        <v>719</v>
      </c>
    </row>
    <row r="5" spans="1:7" x14ac:dyDescent="0.3">
      <c r="A5" t="s">
        <v>641</v>
      </c>
      <c r="B5">
        <v>53.0035209655762</v>
      </c>
      <c r="C5">
        <v>0.53003520965576201</v>
      </c>
      <c r="D5">
        <v>0.54594863891601597</v>
      </c>
      <c r="E5">
        <v>0.24909788618093442</v>
      </c>
      <c r="F5" t="s">
        <v>715</v>
      </c>
      <c r="G5" t="s">
        <v>720</v>
      </c>
    </row>
    <row r="6" spans="1:7" x14ac:dyDescent="0.3">
      <c r="A6" t="s">
        <v>692</v>
      </c>
      <c r="B6">
        <v>54.594863891601598</v>
      </c>
      <c r="C6">
        <v>0.54594863891601597</v>
      </c>
      <c r="D6">
        <v>0.56182132720947298</v>
      </c>
      <c r="E6">
        <v>0.24788872258176559</v>
      </c>
      <c r="F6" t="s">
        <v>716</v>
      </c>
      <c r="G6" t="s">
        <v>721</v>
      </c>
    </row>
    <row r="7" spans="1:7" x14ac:dyDescent="0.3">
      <c r="A7" t="s">
        <v>189</v>
      </c>
      <c r="B7">
        <v>56.182132720947301</v>
      </c>
      <c r="C7">
        <v>0.56182132720947298</v>
      </c>
      <c r="D7">
        <v>0.60099999999999998</v>
      </c>
      <c r="E7">
        <v>0.24617812350205928</v>
      </c>
    </row>
    <row r="8" spans="1:7" x14ac:dyDescent="0.3">
      <c r="A8" t="s">
        <v>255</v>
      </c>
      <c r="B8">
        <v>60.1</v>
      </c>
      <c r="C8">
        <v>0.60099999999999998</v>
      </c>
      <c r="D8">
        <v>0.60299999999999998</v>
      </c>
      <c r="E8">
        <v>0.23979900000000001</v>
      </c>
    </row>
    <row r="9" spans="1:7" x14ac:dyDescent="0.3">
      <c r="A9" t="s">
        <v>548</v>
      </c>
      <c r="B9">
        <v>60.3</v>
      </c>
      <c r="C9">
        <v>0.60299999999999998</v>
      </c>
      <c r="D9">
        <v>0.62</v>
      </c>
      <c r="E9">
        <v>0.23939099999999999</v>
      </c>
    </row>
    <row r="10" spans="1:7" x14ac:dyDescent="0.3">
      <c r="A10" t="s">
        <v>600</v>
      </c>
      <c r="B10">
        <v>62</v>
      </c>
      <c r="C10">
        <v>0.62</v>
      </c>
      <c r="D10">
        <v>0.623</v>
      </c>
      <c r="E10">
        <v>0.2356</v>
      </c>
    </row>
    <row r="11" spans="1:7" x14ac:dyDescent="0.3">
      <c r="A11" t="s">
        <v>97</v>
      </c>
      <c r="B11">
        <v>62.3</v>
      </c>
      <c r="C11">
        <v>0.623</v>
      </c>
      <c r="D11">
        <v>0.65400000000000003</v>
      </c>
      <c r="E11">
        <v>0.234871</v>
      </c>
    </row>
    <row r="12" spans="1:7" x14ac:dyDescent="0.3">
      <c r="A12" t="s">
        <v>157</v>
      </c>
      <c r="B12">
        <v>65.400000000000006</v>
      </c>
      <c r="C12">
        <v>0.65400000000000003</v>
      </c>
      <c r="D12">
        <v>0.64400000000000002</v>
      </c>
      <c r="E12">
        <v>0.22628399999999999</v>
      </c>
    </row>
    <row r="13" spans="1:7" x14ac:dyDescent="0.3">
      <c r="A13" t="s">
        <v>212</v>
      </c>
      <c r="B13">
        <v>64.400000000000006</v>
      </c>
      <c r="C13">
        <v>0.64400000000000002</v>
      </c>
      <c r="D13">
        <v>0.68799999999999994</v>
      </c>
      <c r="E13">
        <v>0.229264</v>
      </c>
    </row>
    <row r="14" spans="1:7" x14ac:dyDescent="0.3">
      <c r="A14" t="s">
        <v>281</v>
      </c>
      <c r="B14">
        <v>68.8</v>
      </c>
      <c r="C14">
        <v>0.68799999999999994</v>
      </c>
      <c r="D14">
        <v>0.67900000000000005</v>
      </c>
      <c r="E14">
        <v>0.21465600000000001</v>
      </c>
    </row>
    <row r="15" spans="1:7" x14ac:dyDescent="0.3">
      <c r="A15" t="s">
        <v>493</v>
      </c>
      <c r="B15">
        <v>67.900000000000006</v>
      </c>
      <c r="C15">
        <v>0.67900000000000005</v>
      </c>
      <c r="D15">
        <v>0.72299999999999998</v>
      </c>
      <c r="E15">
        <v>0.21795899999999999</v>
      </c>
    </row>
    <row r="16" spans="1:7" x14ac:dyDescent="0.3">
      <c r="A16" t="s">
        <v>553</v>
      </c>
      <c r="B16">
        <v>72.3</v>
      </c>
      <c r="C16">
        <v>0.72299999999999998</v>
      </c>
      <c r="D16">
        <v>0.74099999999999999</v>
      </c>
      <c r="E16">
        <v>0.200271</v>
      </c>
    </row>
    <row r="17" spans="1:5" x14ac:dyDescent="0.3">
      <c r="A17" t="s">
        <v>606</v>
      </c>
      <c r="B17">
        <v>74.099999999999994</v>
      </c>
      <c r="C17">
        <v>0.74099999999999999</v>
      </c>
      <c r="D17">
        <v>0.75</v>
      </c>
      <c r="E17">
        <v>0.19191900000000001</v>
      </c>
    </row>
    <row r="18" spans="1:5" x14ac:dyDescent="0.3">
      <c r="A18" t="s">
        <v>100</v>
      </c>
      <c r="B18">
        <v>75</v>
      </c>
      <c r="C18">
        <v>0.75</v>
      </c>
      <c r="D18">
        <v>0.76300000000000001</v>
      </c>
      <c r="E18">
        <v>0.1875</v>
      </c>
    </row>
    <row r="19" spans="1:5" x14ac:dyDescent="0.3">
      <c r="A19" t="s">
        <v>614</v>
      </c>
      <c r="B19">
        <v>76.3</v>
      </c>
      <c r="C19">
        <v>0.76300000000000001</v>
      </c>
      <c r="D19">
        <v>0.79500000000000004</v>
      </c>
      <c r="E19">
        <v>0.18083099999999999</v>
      </c>
    </row>
    <row r="20" spans="1:5" x14ac:dyDescent="0.3">
      <c r="A20" t="s">
        <v>665</v>
      </c>
      <c r="B20">
        <v>79.5</v>
      </c>
      <c r="C20">
        <v>0.79500000000000004</v>
      </c>
      <c r="D20">
        <v>0.79900000000000004</v>
      </c>
      <c r="E20">
        <v>0.16297499999999998</v>
      </c>
    </row>
    <row r="21" spans="1:5" x14ac:dyDescent="0.3">
      <c r="A21" t="s">
        <v>18</v>
      </c>
      <c r="B21">
        <v>79.900000000000006</v>
      </c>
      <c r="C21">
        <v>0.79900000000000004</v>
      </c>
      <c r="D21">
        <v>0.83099999999999996</v>
      </c>
      <c r="E21">
        <v>0.16059899999999996</v>
      </c>
    </row>
    <row r="22" spans="1:5" x14ac:dyDescent="0.3">
      <c r="A22" t="s">
        <v>228</v>
      </c>
      <c r="B22">
        <v>83.1</v>
      </c>
      <c r="C22">
        <v>0.83099999999999996</v>
      </c>
      <c r="D22">
        <v>0.85099999999999998</v>
      </c>
      <c r="E22">
        <v>0.14043900000000004</v>
      </c>
    </row>
    <row r="23" spans="1:5" x14ac:dyDescent="0.3">
      <c r="A23" t="s">
        <v>292</v>
      </c>
      <c r="B23">
        <v>85.1</v>
      </c>
      <c r="C23">
        <v>0.85099999999999998</v>
      </c>
      <c r="D23">
        <v>0.88</v>
      </c>
      <c r="E23">
        <v>0.12679900000000002</v>
      </c>
    </row>
    <row r="24" spans="1:5" x14ac:dyDescent="0.3">
      <c r="A24" t="s">
        <v>343</v>
      </c>
      <c r="B24">
        <v>88</v>
      </c>
      <c r="C24">
        <v>0.88</v>
      </c>
      <c r="D24">
        <v>0.89599999999999991</v>
      </c>
      <c r="E24">
        <v>0.1056</v>
      </c>
    </row>
    <row r="25" spans="1:5" x14ac:dyDescent="0.3">
      <c r="A25" t="s">
        <v>398</v>
      </c>
      <c r="B25">
        <v>89.6</v>
      </c>
      <c r="C25">
        <v>0.89599999999999991</v>
      </c>
      <c r="D25">
        <v>0.91799999999999993</v>
      </c>
      <c r="E25">
        <v>9.3184000000000072E-2</v>
      </c>
    </row>
    <row r="26" spans="1:5" x14ac:dyDescent="0.3">
      <c r="A26" t="s">
        <v>619</v>
      </c>
      <c r="B26">
        <v>91.8</v>
      </c>
      <c r="C26">
        <v>0.91799999999999993</v>
      </c>
      <c r="D26">
        <v>0.95700000000000007</v>
      </c>
      <c r="E26">
        <v>7.5276000000000065E-2</v>
      </c>
    </row>
    <row r="27" spans="1:5" x14ac:dyDescent="0.3">
      <c r="A27" t="s">
        <v>669</v>
      </c>
      <c r="B27">
        <v>95.7</v>
      </c>
      <c r="C27">
        <v>0.95700000000000007</v>
      </c>
      <c r="D27">
        <v>0.95900000000000007</v>
      </c>
      <c r="E27">
        <v>4.1150999999999931E-2</v>
      </c>
    </row>
    <row r="28" spans="1:5" x14ac:dyDescent="0.3">
      <c r="A28" t="s">
        <v>22</v>
      </c>
      <c r="B28">
        <v>95.9</v>
      </c>
      <c r="C28">
        <v>0.95900000000000007</v>
      </c>
      <c r="D28">
        <v>0.96499999999999997</v>
      </c>
      <c r="E28">
        <v>3.931899999999993E-2</v>
      </c>
    </row>
    <row r="29" spans="1:5" x14ac:dyDescent="0.3">
      <c r="A29" t="s">
        <v>683</v>
      </c>
      <c r="B29">
        <v>96.5</v>
      </c>
      <c r="C29">
        <v>0.96499999999999997</v>
      </c>
      <c r="D29">
        <v>0.996</v>
      </c>
      <c r="E29">
        <v>3.3775000000000027E-2</v>
      </c>
    </row>
    <row r="30" spans="1:5" x14ac:dyDescent="0.3">
      <c r="A30" t="s">
        <v>32</v>
      </c>
      <c r="B30">
        <v>99.6</v>
      </c>
      <c r="C30">
        <v>0.996</v>
      </c>
      <c r="D30">
        <v>0.99199999999999999</v>
      </c>
      <c r="E30">
        <v>3.9840000000000032E-3</v>
      </c>
    </row>
    <row r="31" spans="1:5" x14ac:dyDescent="0.3">
      <c r="A31" t="s">
        <v>94</v>
      </c>
      <c r="B31">
        <v>99.2</v>
      </c>
      <c r="C31">
        <v>0.99199999999999999</v>
      </c>
      <c r="D31">
        <v>0.995</v>
      </c>
      <c r="E31">
        <v>7.9360000000000073E-3</v>
      </c>
    </row>
    <row r="32" spans="1:5" x14ac:dyDescent="0.3">
      <c r="A32" t="s">
        <v>154</v>
      </c>
      <c r="B32">
        <v>99.5</v>
      </c>
      <c r="C32">
        <v>0.995</v>
      </c>
      <c r="D32">
        <v>0.99900000000000011</v>
      </c>
      <c r="E32">
        <v>4.9750000000000046E-3</v>
      </c>
    </row>
    <row r="33" spans="1:5" x14ac:dyDescent="0.3">
      <c r="A33" t="s">
        <v>357</v>
      </c>
      <c r="B33">
        <v>99.9</v>
      </c>
      <c r="C33">
        <v>0.99900000000000011</v>
      </c>
      <c r="D33">
        <v>0</v>
      </c>
      <c r="E33">
        <v>9.9899999999989017E-4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6EE8-B1BE-4E11-A8EF-F3E972216FE7}">
  <dimension ref="A1:E265"/>
  <sheetViews>
    <sheetView workbookViewId="0"/>
  </sheetViews>
  <sheetFormatPr defaultRowHeight="14.4" x14ac:dyDescent="0.3"/>
  <cols>
    <col min="1" max="5" width="17.5546875" customWidth="1"/>
  </cols>
  <sheetData>
    <row r="1" spans="1:5" x14ac:dyDescent="0.3">
      <c r="A1" t="s">
        <v>457</v>
      </c>
      <c r="B1" t="s">
        <v>601</v>
      </c>
      <c r="C1" t="s">
        <v>645</v>
      </c>
      <c r="D1" t="s">
        <v>635</v>
      </c>
      <c r="E1" t="s">
        <v>303</v>
      </c>
    </row>
    <row r="2" spans="1:5" x14ac:dyDescent="0.3">
      <c r="A2" t="s">
        <v>12</v>
      </c>
      <c r="B2" t="s">
        <v>572</v>
      </c>
      <c r="C2" t="s">
        <v>327</v>
      </c>
      <c r="E2" t="s">
        <v>499</v>
      </c>
    </row>
    <row r="3" spans="1:5" x14ac:dyDescent="0.3">
      <c r="A3" t="s">
        <v>481</v>
      </c>
      <c r="D3" t="s">
        <v>445</v>
      </c>
      <c r="E3" t="s">
        <v>512</v>
      </c>
    </row>
    <row r="4" spans="1:5" ht="409.6" x14ac:dyDescent="0.3">
      <c r="A4" t="s">
        <v>597</v>
      </c>
      <c r="B4" t="s">
        <v>122</v>
      </c>
      <c r="C4" t="s">
        <v>616</v>
      </c>
      <c r="D4" s="1" t="s">
        <v>662</v>
      </c>
      <c r="E4" t="s">
        <v>308</v>
      </c>
    </row>
    <row r="5" spans="1:5" x14ac:dyDescent="0.3">
      <c r="A5" t="s">
        <v>161</v>
      </c>
      <c r="D5" t="s">
        <v>241</v>
      </c>
      <c r="E5" t="s">
        <v>670</v>
      </c>
    </row>
    <row r="6" spans="1:5" x14ac:dyDescent="0.3">
      <c r="A6" t="s">
        <v>17</v>
      </c>
      <c r="B6" t="s">
        <v>286</v>
      </c>
      <c r="C6" t="s">
        <v>346</v>
      </c>
      <c r="D6" t="s">
        <v>573</v>
      </c>
      <c r="E6" t="s">
        <v>299</v>
      </c>
    </row>
    <row r="7" spans="1:5" x14ac:dyDescent="0.3">
      <c r="A7" t="s">
        <v>432</v>
      </c>
      <c r="B7" t="s">
        <v>371</v>
      </c>
      <c r="C7" t="s">
        <v>149</v>
      </c>
      <c r="E7" t="s">
        <v>186</v>
      </c>
    </row>
    <row r="8" spans="1:5" x14ac:dyDescent="0.3">
      <c r="A8" t="s">
        <v>700</v>
      </c>
      <c r="B8" t="s">
        <v>371</v>
      </c>
      <c r="C8" t="s">
        <v>327</v>
      </c>
      <c r="E8" t="s">
        <v>325</v>
      </c>
    </row>
    <row r="9" spans="1:5" x14ac:dyDescent="0.3">
      <c r="A9" t="s">
        <v>586</v>
      </c>
      <c r="D9" t="s">
        <v>323</v>
      </c>
      <c r="E9" t="s">
        <v>105</v>
      </c>
    </row>
    <row r="10" spans="1:5" x14ac:dyDescent="0.3">
      <c r="A10" t="s">
        <v>194</v>
      </c>
      <c r="B10" t="s">
        <v>122</v>
      </c>
      <c r="C10" t="s">
        <v>327</v>
      </c>
      <c r="E10" t="s">
        <v>43</v>
      </c>
    </row>
    <row r="11" spans="1:5" ht="409.6" x14ac:dyDescent="0.3">
      <c r="A11" t="s">
        <v>470</v>
      </c>
      <c r="B11" t="s">
        <v>572</v>
      </c>
      <c r="C11" t="s">
        <v>149</v>
      </c>
      <c r="D11" s="1" t="s">
        <v>651</v>
      </c>
      <c r="E11" t="s">
        <v>291</v>
      </c>
    </row>
    <row r="12" spans="1:5" x14ac:dyDescent="0.3">
      <c r="A12" t="s">
        <v>266</v>
      </c>
      <c r="B12" t="s">
        <v>371</v>
      </c>
      <c r="C12" t="s">
        <v>149</v>
      </c>
      <c r="E12" t="s">
        <v>81</v>
      </c>
    </row>
    <row r="13" spans="1:5" x14ac:dyDescent="0.3">
      <c r="A13" t="s">
        <v>333</v>
      </c>
      <c r="B13" t="s">
        <v>460</v>
      </c>
      <c r="C13" t="s">
        <v>327</v>
      </c>
      <c r="E13" t="s">
        <v>102</v>
      </c>
    </row>
    <row r="14" spans="1:5" x14ac:dyDescent="0.3">
      <c r="A14" t="s">
        <v>469</v>
      </c>
      <c r="B14" t="s">
        <v>572</v>
      </c>
      <c r="C14" t="s">
        <v>327</v>
      </c>
      <c r="E14" t="s">
        <v>387</v>
      </c>
    </row>
    <row r="15" spans="1:5" x14ac:dyDescent="0.3">
      <c r="A15" t="s">
        <v>282</v>
      </c>
      <c r="B15" t="s">
        <v>460</v>
      </c>
      <c r="C15" t="s">
        <v>327</v>
      </c>
      <c r="D15" t="s">
        <v>250</v>
      </c>
      <c r="E15" t="s">
        <v>409</v>
      </c>
    </row>
    <row r="16" spans="1:5" x14ac:dyDescent="0.3">
      <c r="A16" t="s">
        <v>334</v>
      </c>
      <c r="B16" t="s">
        <v>371</v>
      </c>
      <c r="C16" t="s">
        <v>327</v>
      </c>
      <c r="D16" t="s">
        <v>617</v>
      </c>
      <c r="E16" t="s">
        <v>58</v>
      </c>
    </row>
    <row r="17" spans="1:5" x14ac:dyDescent="0.3">
      <c r="A17" t="s">
        <v>498</v>
      </c>
      <c r="B17" t="s">
        <v>371</v>
      </c>
      <c r="C17" t="s">
        <v>149</v>
      </c>
      <c r="E17" t="s">
        <v>507</v>
      </c>
    </row>
    <row r="18" spans="1:5" x14ac:dyDescent="0.3">
      <c r="A18" t="s">
        <v>518</v>
      </c>
      <c r="B18" t="s">
        <v>286</v>
      </c>
      <c r="C18" t="s">
        <v>616</v>
      </c>
      <c r="D18" t="s">
        <v>208</v>
      </c>
      <c r="E18" t="s">
        <v>446</v>
      </c>
    </row>
    <row r="19" spans="1:5" x14ac:dyDescent="0.3">
      <c r="A19" t="s">
        <v>45</v>
      </c>
      <c r="B19" t="s">
        <v>371</v>
      </c>
      <c r="C19" t="s">
        <v>327</v>
      </c>
      <c r="D19" t="s">
        <v>443</v>
      </c>
      <c r="E19" t="s">
        <v>610</v>
      </c>
    </row>
    <row r="20" spans="1:5" x14ac:dyDescent="0.3">
      <c r="A20" t="s">
        <v>317</v>
      </c>
      <c r="B20" t="s">
        <v>286</v>
      </c>
      <c r="C20" t="s">
        <v>346</v>
      </c>
      <c r="E20" t="s">
        <v>598</v>
      </c>
    </row>
    <row r="21" spans="1:5" x14ac:dyDescent="0.3">
      <c r="A21" t="s">
        <v>433</v>
      </c>
      <c r="B21" t="s">
        <v>286</v>
      </c>
      <c r="C21" t="s">
        <v>616</v>
      </c>
      <c r="E21" t="s">
        <v>109</v>
      </c>
    </row>
    <row r="22" spans="1:5" x14ac:dyDescent="0.3">
      <c r="A22" t="s">
        <v>138</v>
      </c>
      <c r="B22" t="s">
        <v>82</v>
      </c>
      <c r="C22" t="s">
        <v>346</v>
      </c>
      <c r="D22" t="s">
        <v>250</v>
      </c>
      <c r="E22" t="s">
        <v>37</v>
      </c>
    </row>
    <row r="23" spans="1:5" x14ac:dyDescent="0.3">
      <c r="A23" t="s">
        <v>139</v>
      </c>
      <c r="B23" t="s">
        <v>371</v>
      </c>
      <c r="C23" t="s">
        <v>327</v>
      </c>
      <c r="D23" t="s">
        <v>312</v>
      </c>
      <c r="E23" t="s">
        <v>576</v>
      </c>
    </row>
    <row r="24" spans="1:5" x14ac:dyDescent="0.3">
      <c r="A24" t="s">
        <v>64</v>
      </c>
      <c r="B24" t="s">
        <v>122</v>
      </c>
      <c r="C24" t="s">
        <v>327</v>
      </c>
      <c r="E24" t="s">
        <v>344</v>
      </c>
    </row>
    <row r="25" spans="1:5" x14ac:dyDescent="0.3">
      <c r="A25" t="s">
        <v>275</v>
      </c>
      <c r="B25" t="s">
        <v>572</v>
      </c>
      <c r="C25" t="s">
        <v>327</v>
      </c>
      <c r="E25" t="s">
        <v>152</v>
      </c>
    </row>
    <row r="26" spans="1:5" x14ac:dyDescent="0.3">
      <c r="A26" t="s">
        <v>525</v>
      </c>
      <c r="B26" t="s">
        <v>371</v>
      </c>
      <c r="C26" t="s">
        <v>149</v>
      </c>
      <c r="E26" t="s">
        <v>369</v>
      </c>
    </row>
    <row r="27" spans="1:5" x14ac:dyDescent="0.3">
      <c r="A27" t="s">
        <v>201</v>
      </c>
      <c r="B27" t="s">
        <v>371</v>
      </c>
      <c r="C27" t="s">
        <v>149</v>
      </c>
      <c r="D27" t="s">
        <v>477</v>
      </c>
      <c r="E27" t="s">
        <v>559</v>
      </c>
    </row>
    <row r="28" spans="1:5" x14ac:dyDescent="0.3">
      <c r="A28" t="s">
        <v>272</v>
      </c>
      <c r="B28" t="s">
        <v>572</v>
      </c>
      <c r="C28" t="s">
        <v>149</v>
      </c>
      <c r="E28" t="s">
        <v>295</v>
      </c>
    </row>
    <row r="29" spans="1:5" x14ac:dyDescent="0.3">
      <c r="A29" t="s">
        <v>607</v>
      </c>
      <c r="B29" t="s">
        <v>202</v>
      </c>
      <c r="C29" t="s">
        <v>327</v>
      </c>
      <c r="E29" t="s">
        <v>352</v>
      </c>
    </row>
    <row r="30" spans="1:5" x14ac:dyDescent="0.3">
      <c r="A30" t="s">
        <v>488</v>
      </c>
      <c r="B30" t="s">
        <v>572</v>
      </c>
      <c r="C30" t="s">
        <v>346</v>
      </c>
      <c r="E30" t="s">
        <v>53</v>
      </c>
    </row>
    <row r="31" spans="1:5" x14ac:dyDescent="0.3">
      <c r="A31" t="s">
        <v>315</v>
      </c>
      <c r="B31" t="s">
        <v>572</v>
      </c>
      <c r="C31" t="s">
        <v>149</v>
      </c>
      <c r="E31" t="s">
        <v>562</v>
      </c>
    </row>
    <row r="32" spans="1:5" x14ac:dyDescent="0.3">
      <c r="A32" t="s">
        <v>366</v>
      </c>
      <c r="B32" t="s">
        <v>572</v>
      </c>
      <c r="C32" t="s">
        <v>327</v>
      </c>
      <c r="E32" t="s">
        <v>532</v>
      </c>
    </row>
    <row r="33" spans="1:5" x14ac:dyDescent="0.3">
      <c r="A33" t="s">
        <v>118</v>
      </c>
      <c r="B33" t="s">
        <v>460</v>
      </c>
      <c r="C33" t="s">
        <v>327</v>
      </c>
      <c r="E33" t="s">
        <v>405</v>
      </c>
    </row>
    <row r="34" spans="1:5" x14ac:dyDescent="0.3">
      <c r="A34" t="s">
        <v>111</v>
      </c>
      <c r="B34" t="s">
        <v>82</v>
      </c>
      <c r="C34" t="s">
        <v>346</v>
      </c>
      <c r="E34" t="s">
        <v>541</v>
      </c>
    </row>
    <row r="35" spans="1:5" x14ac:dyDescent="0.3">
      <c r="A35" t="s">
        <v>373</v>
      </c>
      <c r="B35" t="s">
        <v>286</v>
      </c>
      <c r="C35" t="s">
        <v>149</v>
      </c>
      <c r="E35" t="s">
        <v>48</v>
      </c>
    </row>
    <row r="36" spans="1:5" x14ac:dyDescent="0.3">
      <c r="A36" t="s">
        <v>462</v>
      </c>
      <c r="B36" t="s">
        <v>286</v>
      </c>
      <c r="C36" t="s">
        <v>616</v>
      </c>
      <c r="E36" t="s">
        <v>171</v>
      </c>
    </row>
    <row r="37" spans="1:5" x14ac:dyDescent="0.3">
      <c r="A37" t="s">
        <v>533</v>
      </c>
      <c r="B37" t="s">
        <v>202</v>
      </c>
      <c r="C37" t="s">
        <v>327</v>
      </c>
      <c r="D37" t="s">
        <v>395</v>
      </c>
      <c r="E37" t="s">
        <v>182</v>
      </c>
    </row>
    <row r="38" spans="1:5" x14ac:dyDescent="0.3">
      <c r="A38" t="s">
        <v>215</v>
      </c>
      <c r="D38" t="s">
        <v>29</v>
      </c>
      <c r="E38" t="s">
        <v>414</v>
      </c>
    </row>
    <row r="39" spans="1:5" x14ac:dyDescent="0.3">
      <c r="A39" t="s">
        <v>615</v>
      </c>
      <c r="B39" t="s">
        <v>371</v>
      </c>
      <c r="C39" t="s">
        <v>327</v>
      </c>
      <c r="E39" t="s">
        <v>174</v>
      </c>
    </row>
    <row r="40" spans="1:5" x14ac:dyDescent="0.3">
      <c r="A40" t="s">
        <v>293</v>
      </c>
      <c r="B40" t="s">
        <v>371</v>
      </c>
      <c r="C40" t="s">
        <v>327</v>
      </c>
      <c r="E40" t="s">
        <v>367</v>
      </c>
    </row>
    <row r="41" spans="1:5" x14ac:dyDescent="0.3">
      <c r="A41" t="s">
        <v>622</v>
      </c>
      <c r="B41" t="s">
        <v>572</v>
      </c>
      <c r="C41" t="s">
        <v>327</v>
      </c>
      <c r="E41" t="s">
        <v>150</v>
      </c>
    </row>
    <row r="42" spans="1:5" ht="409.6" x14ac:dyDescent="0.3">
      <c r="A42" t="s">
        <v>172</v>
      </c>
      <c r="B42" t="s">
        <v>460</v>
      </c>
      <c r="C42" t="s">
        <v>149</v>
      </c>
      <c r="D42" s="1" t="s">
        <v>167</v>
      </c>
      <c r="E42" t="s">
        <v>476</v>
      </c>
    </row>
    <row r="43" spans="1:5" x14ac:dyDescent="0.3">
      <c r="A43" t="s">
        <v>311</v>
      </c>
      <c r="B43" t="s">
        <v>286</v>
      </c>
      <c r="C43" t="s">
        <v>346</v>
      </c>
      <c r="E43" t="s">
        <v>129</v>
      </c>
    </row>
    <row r="44" spans="1:5" x14ac:dyDescent="0.3">
      <c r="A44" t="s">
        <v>72</v>
      </c>
      <c r="B44" t="s">
        <v>286</v>
      </c>
      <c r="C44" t="s">
        <v>346</v>
      </c>
      <c r="E44" t="s">
        <v>704</v>
      </c>
    </row>
    <row r="45" spans="1:5" x14ac:dyDescent="0.3">
      <c r="A45" t="s">
        <v>205</v>
      </c>
      <c r="B45" t="s">
        <v>286</v>
      </c>
      <c r="C45" t="s">
        <v>616</v>
      </c>
      <c r="D45" t="s">
        <v>587</v>
      </c>
      <c r="E45" t="s">
        <v>468</v>
      </c>
    </row>
    <row r="46" spans="1:5" x14ac:dyDescent="0.3">
      <c r="A46" t="s">
        <v>382</v>
      </c>
      <c r="B46" t="s">
        <v>286</v>
      </c>
      <c r="C46" t="s">
        <v>346</v>
      </c>
      <c r="E46" t="s">
        <v>365</v>
      </c>
    </row>
    <row r="47" spans="1:5" x14ac:dyDescent="0.3">
      <c r="A47" t="s">
        <v>278</v>
      </c>
      <c r="B47" t="s">
        <v>572</v>
      </c>
      <c r="C47" t="s">
        <v>149</v>
      </c>
      <c r="E47" t="s">
        <v>528</v>
      </c>
    </row>
    <row r="48" spans="1:5" x14ac:dyDescent="0.3">
      <c r="A48" t="s">
        <v>332</v>
      </c>
      <c r="B48" t="s">
        <v>286</v>
      </c>
      <c r="C48" t="s">
        <v>346</v>
      </c>
      <c r="E48" t="s">
        <v>335</v>
      </c>
    </row>
    <row r="49" spans="1:5" x14ac:dyDescent="0.3">
      <c r="A49" t="s">
        <v>537</v>
      </c>
      <c r="B49" t="s">
        <v>286</v>
      </c>
      <c r="C49" t="s">
        <v>149</v>
      </c>
      <c r="E49" t="s">
        <v>466</v>
      </c>
    </row>
    <row r="50" spans="1:5" x14ac:dyDescent="0.3">
      <c r="A50" t="s">
        <v>11</v>
      </c>
      <c r="B50" t="s">
        <v>572</v>
      </c>
      <c r="C50" t="s">
        <v>327</v>
      </c>
      <c r="E50" t="s">
        <v>320</v>
      </c>
    </row>
    <row r="51" spans="1:5" x14ac:dyDescent="0.3">
      <c r="A51" t="s">
        <v>273</v>
      </c>
      <c r="D51" t="s">
        <v>362</v>
      </c>
      <c r="E51" t="s">
        <v>321</v>
      </c>
    </row>
    <row r="52" spans="1:5" x14ac:dyDescent="0.3">
      <c r="A52" t="s">
        <v>233</v>
      </c>
      <c r="B52" t="s">
        <v>572</v>
      </c>
      <c r="C52" t="s">
        <v>149</v>
      </c>
      <c r="E52" t="s">
        <v>90</v>
      </c>
    </row>
    <row r="53" spans="1:5" x14ac:dyDescent="0.3">
      <c r="A53" t="s">
        <v>91</v>
      </c>
      <c r="B53" t="s">
        <v>572</v>
      </c>
      <c r="C53" t="s">
        <v>327</v>
      </c>
      <c r="E53" t="s">
        <v>380</v>
      </c>
    </row>
    <row r="54" spans="1:5" x14ac:dyDescent="0.3">
      <c r="A54" t="s">
        <v>618</v>
      </c>
      <c r="B54" t="s">
        <v>572</v>
      </c>
      <c r="C54" t="s">
        <v>327</v>
      </c>
      <c r="E54" t="s">
        <v>452</v>
      </c>
    </row>
    <row r="55" spans="1:5" x14ac:dyDescent="0.3">
      <c r="A55" t="s">
        <v>234</v>
      </c>
      <c r="B55" t="s">
        <v>371</v>
      </c>
      <c r="C55" t="s">
        <v>327</v>
      </c>
      <c r="D55" t="s">
        <v>426</v>
      </c>
      <c r="E55" t="s">
        <v>417</v>
      </c>
    </row>
    <row r="56" spans="1:5" x14ac:dyDescent="0.3">
      <c r="A56" t="s">
        <v>633</v>
      </c>
      <c r="B56" t="s">
        <v>371</v>
      </c>
      <c r="C56" t="s">
        <v>327</v>
      </c>
      <c r="E56" t="s">
        <v>328</v>
      </c>
    </row>
    <row r="57" spans="1:5" x14ac:dyDescent="0.3">
      <c r="A57" t="s">
        <v>458</v>
      </c>
      <c r="B57" t="s">
        <v>371</v>
      </c>
      <c r="C57" t="s">
        <v>327</v>
      </c>
      <c r="D57" t="s">
        <v>429</v>
      </c>
      <c r="E57" t="s">
        <v>455</v>
      </c>
    </row>
    <row r="58" spans="1:5" x14ac:dyDescent="0.3">
      <c r="A58" t="s">
        <v>226</v>
      </c>
      <c r="B58" t="s">
        <v>122</v>
      </c>
      <c r="C58" t="s">
        <v>346</v>
      </c>
      <c r="E58" t="s">
        <v>21</v>
      </c>
    </row>
    <row r="59" spans="1:5" x14ac:dyDescent="0.3">
      <c r="A59" t="s">
        <v>240</v>
      </c>
      <c r="B59" t="s">
        <v>572</v>
      </c>
      <c r="C59" t="s">
        <v>149</v>
      </c>
      <c r="E59" t="s">
        <v>655</v>
      </c>
    </row>
    <row r="60" spans="1:5" x14ac:dyDescent="0.3">
      <c r="A60" t="s">
        <v>501</v>
      </c>
      <c r="B60" t="s">
        <v>371</v>
      </c>
      <c r="C60" t="s">
        <v>327</v>
      </c>
      <c r="E60" t="s">
        <v>285</v>
      </c>
    </row>
    <row r="61" spans="1:5" x14ac:dyDescent="0.3">
      <c r="A61" t="s">
        <v>678</v>
      </c>
      <c r="B61" t="s">
        <v>572</v>
      </c>
      <c r="C61" t="s">
        <v>149</v>
      </c>
      <c r="E61" t="s">
        <v>392</v>
      </c>
    </row>
    <row r="62" spans="1:5" x14ac:dyDescent="0.3">
      <c r="A62" t="s">
        <v>30</v>
      </c>
      <c r="B62" t="s">
        <v>122</v>
      </c>
      <c r="C62" t="s">
        <v>149</v>
      </c>
      <c r="E62" t="s">
        <v>654</v>
      </c>
    </row>
    <row r="63" spans="1:5" x14ac:dyDescent="0.3">
      <c r="A63" t="s">
        <v>217</v>
      </c>
      <c r="E63" t="s">
        <v>190</v>
      </c>
    </row>
    <row r="64" spans="1:5" x14ac:dyDescent="0.3">
      <c r="A64" t="s">
        <v>336</v>
      </c>
      <c r="D64" t="s">
        <v>625</v>
      </c>
      <c r="E64" t="s">
        <v>657</v>
      </c>
    </row>
    <row r="65" spans="1:5" x14ac:dyDescent="0.3">
      <c r="A65" t="s">
        <v>555</v>
      </c>
      <c r="D65" t="s">
        <v>7</v>
      </c>
      <c r="E65" t="s">
        <v>460</v>
      </c>
    </row>
    <row r="66" spans="1:5" x14ac:dyDescent="0.3">
      <c r="A66" t="s">
        <v>301</v>
      </c>
      <c r="E66" t="s">
        <v>253</v>
      </c>
    </row>
    <row r="67" spans="1:5" x14ac:dyDescent="0.3">
      <c r="A67" t="s">
        <v>554</v>
      </c>
      <c r="D67" t="s">
        <v>516</v>
      </c>
      <c r="E67" t="s">
        <v>371</v>
      </c>
    </row>
    <row r="68" spans="1:5" x14ac:dyDescent="0.3">
      <c r="A68" t="s">
        <v>101</v>
      </c>
      <c r="B68" t="s">
        <v>572</v>
      </c>
      <c r="C68" t="s">
        <v>149</v>
      </c>
      <c r="E68" t="s">
        <v>227</v>
      </c>
    </row>
    <row r="69" spans="1:5" ht="409.6" x14ac:dyDescent="0.3">
      <c r="A69" t="s">
        <v>637</v>
      </c>
      <c r="B69" t="s">
        <v>122</v>
      </c>
      <c r="C69" t="s">
        <v>346</v>
      </c>
      <c r="D69" s="1" t="s">
        <v>314</v>
      </c>
      <c r="E69" t="s">
        <v>238</v>
      </c>
    </row>
    <row r="70" spans="1:5" x14ac:dyDescent="0.3">
      <c r="A70" t="s">
        <v>381</v>
      </c>
      <c r="D70" t="s">
        <v>263</v>
      </c>
      <c r="E70" t="s">
        <v>130</v>
      </c>
    </row>
    <row r="71" spans="1:5" x14ac:dyDescent="0.3">
      <c r="A71" t="s">
        <v>156</v>
      </c>
      <c r="B71" t="s">
        <v>286</v>
      </c>
      <c r="C71" t="s">
        <v>616</v>
      </c>
      <c r="D71" t="s">
        <v>447</v>
      </c>
      <c r="E71" t="s">
        <v>690</v>
      </c>
    </row>
    <row r="72" spans="1:5" x14ac:dyDescent="0.3">
      <c r="A72" t="s">
        <v>232</v>
      </c>
      <c r="B72" t="s">
        <v>371</v>
      </c>
      <c r="C72" t="s">
        <v>327</v>
      </c>
      <c r="D72" t="s">
        <v>340</v>
      </c>
      <c r="E72" t="s">
        <v>75</v>
      </c>
    </row>
    <row r="73" spans="1:5" x14ac:dyDescent="0.3">
      <c r="A73" t="s">
        <v>624</v>
      </c>
      <c r="B73" t="s">
        <v>371</v>
      </c>
      <c r="C73" t="s">
        <v>327</v>
      </c>
      <c r="D73" t="s">
        <v>484</v>
      </c>
      <c r="E73" t="s">
        <v>486</v>
      </c>
    </row>
    <row r="74" spans="1:5" x14ac:dyDescent="0.3">
      <c r="A74" t="s">
        <v>93</v>
      </c>
      <c r="B74" t="s">
        <v>286</v>
      </c>
      <c r="C74" t="s">
        <v>616</v>
      </c>
      <c r="D74" t="s">
        <v>220</v>
      </c>
      <c r="E74" t="s">
        <v>143</v>
      </c>
    </row>
    <row r="75" spans="1:5" x14ac:dyDescent="0.3">
      <c r="A75" t="s">
        <v>668</v>
      </c>
      <c r="D75" t="s">
        <v>271</v>
      </c>
      <c r="E75" t="s">
        <v>40</v>
      </c>
    </row>
    <row r="76" spans="1:5" x14ac:dyDescent="0.3">
      <c r="A76" t="s">
        <v>26</v>
      </c>
      <c r="B76" t="s">
        <v>371</v>
      </c>
      <c r="C76" t="s">
        <v>327</v>
      </c>
      <c r="D76" t="s">
        <v>229</v>
      </c>
      <c r="E76" t="s">
        <v>51</v>
      </c>
    </row>
    <row r="77" spans="1:5" x14ac:dyDescent="0.3">
      <c r="A77" t="s">
        <v>363</v>
      </c>
      <c r="B77" t="s">
        <v>460</v>
      </c>
      <c r="C77" t="s">
        <v>149</v>
      </c>
      <c r="E77" t="s">
        <v>135</v>
      </c>
    </row>
    <row r="78" spans="1:5" x14ac:dyDescent="0.3">
      <c r="A78" t="s">
        <v>595</v>
      </c>
      <c r="B78" t="s">
        <v>371</v>
      </c>
      <c r="C78" t="s">
        <v>327</v>
      </c>
      <c r="D78" t="s">
        <v>589</v>
      </c>
      <c r="E78" t="s">
        <v>353</v>
      </c>
    </row>
    <row r="79" spans="1:5" x14ac:dyDescent="0.3">
      <c r="A79" t="s">
        <v>442</v>
      </c>
      <c r="B79" t="s">
        <v>371</v>
      </c>
      <c r="C79" t="s">
        <v>327</v>
      </c>
      <c r="E79" t="s">
        <v>319</v>
      </c>
    </row>
    <row r="80" spans="1:5" x14ac:dyDescent="0.3">
      <c r="A80" t="s">
        <v>259</v>
      </c>
      <c r="B80" t="s">
        <v>460</v>
      </c>
      <c r="C80" t="s">
        <v>149</v>
      </c>
      <c r="D80" t="s">
        <v>510</v>
      </c>
      <c r="E80" t="s">
        <v>361</v>
      </c>
    </row>
    <row r="81" spans="1:5" x14ac:dyDescent="0.3">
      <c r="A81" t="s">
        <v>345</v>
      </c>
      <c r="B81" t="s">
        <v>286</v>
      </c>
      <c r="C81" t="s">
        <v>149</v>
      </c>
      <c r="E81" t="s">
        <v>471</v>
      </c>
    </row>
    <row r="82" spans="1:5" x14ac:dyDescent="0.3">
      <c r="A82" t="s">
        <v>556</v>
      </c>
      <c r="B82" t="s">
        <v>371</v>
      </c>
      <c r="C82" t="s">
        <v>327</v>
      </c>
      <c r="E82" t="s">
        <v>634</v>
      </c>
    </row>
    <row r="83" spans="1:5" x14ac:dyDescent="0.3">
      <c r="A83" t="s">
        <v>437</v>
      </c>
      <c r="B83" t="s">
        <v>371</v>
      </c>
      <c r="C83" t="s">
        <v>149</v>
      </c>
      <c r="D83" t="s">
        <v>539</v>
      </c>
      <c r="E83" t="s">
        <v>588</v>
      </c>
    </row>
    <row r="84" spans="1:5" x14ac:dyDescent="0.3">
      <c r="A84" t="s">
        <v>520</v>
      </c>
      <c r="B84" t="s">
        <v>286</v>
      </c>
      <c r="C84" t="s">
        <v>346</v>
      </c>
      <c r="D84" t="s">
        <v>672</v>
      </c>
      <c r="E84" t="s">
        <v>153</v>
      </c>
    </row>
    <row r="85" spans="1:5" x14ac:dyDescent="0.3">
      <c r="A85" t="s">
        <v>647</v>
      </c>
      <c r="B85" t="s">
        <v>371</v>
      </c>
      <c r="C85" t="s">
        <v>327</v>
      </c>
      <c r="D85" t="s">
        <v>453</v>
      </c>
      <c r="E85" t="s">
        <v>121</v>
      </c>
    </row>
    <row r="86" spans="1:5" x14ac:dyDescent="0.3">
      <c r="A86" t="s">
        <v>540</v>
      </c>
      <c r="B86" t="s">
        <v>286</v>
      </c>
      <c r="C86" t="s">
        <v>346</v>
      </c>
      <c r="E86" t="s">
        <v>545</v>
      </c>
    </row>
    <row r="87" spans="1:5" x14ac:dyDescent="0.3">
      <c r="A87" t="s">
        <v>78</v>
      </c>
      <c r="B87" t="s">
        <v>286</v>
      </c>
      <c r="C87" t="s">
        <v>616</v>
      </c>
      <c r="E87" t="s">
        <v>25</v>
      </c>
    </row>
    <row r="88" spans="1:5" x14ac:dyDescent="0.3">
      <c r="A88" t="s">
        <v>146</v>
      </c>
      <c r="B88" t="s">
        <v>286</v>
      </c>
      <c r="C88" t="s">
        <v>616</v>
      </c>
      <c r="E88" t="s">
        <v>550</v>
      </c>
    </row>
    <row r="89" spans="1:5" x14ac:dyDescent="0.3">
      <c r="A89" t="s">
        <v>210</v>
      </c>
      <c r="B89" t="s">
        <v>286</v>
      </c>
      <c r="C89" t="s">
        <v>149</v>
      </c>
      <c r="E89" t="s">
        <v>612</v>
      </c>
    </row>
    <row r="90" spans="1:5" x14ac:dyDescent="0.3">
      <c r="A90" t="s">
        <v>514</v>
      </c>
      <c r="B90" t="s">
        <v>371</v>
      </c>
      <c r="C90" t="s">
        <v>327</v>
      </c>
      <c r="D90" t="s">
        <v>396</v>
      </c>
      <c r="E90" t="s">
        <v>656</v>
      </c>
    </row>
    <row r="91" spans="1:5" x14ac:dyDescent="0.3">
      <c r="A91" t="s">
        <v>567</v>
      </c>
      <c r="B91" t="s">
        <v>572</v>
      </c>
      <c r="C91" t="s">
        <v>149</v>
      </c>
      <c r="E91" t="s">
        <v>69</v>
      </c>
    </row>
    <row r="92" spans="1:5" x14ac:dyDescent="0.3">
      <c r="A92" t="s">
        <v>628</v>
      </c>
      <c r="B92" t="s">
        <v>371</v>
      </c>
      <c r="C92" t="s">
        <v>327</v>
      </c>
      <c r="E92" t="s">
        <v>496</v>
      </c>
    </row>
    <row r="93" spans="1:5" x14ac:dyDescent="0.3">
      <c r="A93" t="s">
        <v>126</v>
      </c>
      <c r="B93" t="s">
        <v>572</v>
      </c>
      <c r="C93" t="s">
        <v>149</v>
      </c>
      <c r="D93" t="s">
        <v>98</v>
      </c>
      <c r="E93" t="s">
        <v>243</v>
      </c>
    </row>
    <row r="94" spans="1:5" x14ac:dyDescent="0.3">
      <c r="A94" t="s">
        <v>39</v>
      </c>
      <c r="B94" t="s">
        <v>460</v>
      </c>
      <c r="C94" t="s">
        <v>327</v>
      </c>
      <c r="E94" t="s">
        <v>697</v>
      </c>
    </row>
    <row r="95" spans="1:5" x14ac:dyDescent="0.3">
      <c r="A95" t="s">
        <v>503</v>
      </c>
      <c r="B95" t="s">
        <v>572</v>
      </c>
      <c r="C95" t="s">
        <v>327</v>
      </c>
      <c r="E95" t="s">
        <v>338</v>
      </c>
    </row>
    <row r="96" spans="1:5" ht="409.6" x14ac:dyDescent="0.3">
      <c r="A96" t="s">
        <v>504</v>
      </c>
      <c r="D96" s="1" t="s">
        <v>34</v>
      </c>
      <c r="E96" t="s">
        <v>327</v>
      </c>
    </row>
    <row r="97" spans="1:5" x14ac:dyDescent="0.3">
      <c r="A97" t="s">
        <v>316</v>
      </c>
      <c r="B97" t="s">
        <v>460</v>
      </c>
      <c r="C97" t="s">
        <v>327</v>
      </c>
      <c r="D97" t="s">
        <v>695</v>
      </c>
      <c r="E97" t="s">
        <v>248</v>
      </c>
    </row>
    <row r="98" spans="1:5" x14ac:dyDescent="0.3">
      <c r="A98" t="s">
        <v>60</v>
      </c>
      <c r="B98" t="s">
        <v>572</v>
      </c>
      <c r="C98" t="s">
        <v>346</v>
      </c>
      <c r="D98" t="s">
        <v>158</v>
      </c>
      <c r="E98" t="s">
        <v>521</v>
      </c>
    </row>
    <row r="99" spans="1:5" x14ac:dyDescent="0.3">
      <c r="A99" t="s">
        <v>144</v>
      </c>
      <c r="D99" t="s">
        <v>596</v>
      </c>
      <c r="E99" t="s">
        <v>648</v>
      </c>
    </row>
    <row r="100" spans="1:5" x14ac:dyDescent="0.3">
      <c r="A100" t="s">
        <v>594</v>
      </c>
      <c r="B100" t="s">
        <v>371</v>
      </c>
      <c r="C100" t="s">
        <v>327</v>
      </c>
      <c r="D100" t="s">
        <v>119</v>
      </c>
      <c r="E100" t="s">
        <v>491</v>
      </c>
    </row>
    <row r="101" spans="1:5" x14ac:dyDescent="0.3">
      <c r="A101" t="s">
        <v>85</v>
      </c>
      <c r="B101" t="s">
        <v>572</v>
      </c>
      <c r="C101" t="s">
        <v>346</v>
      </c>
      <c r="D101" t="s">
        <v>531</v>
      </c>
      <c r="E101" t="s">
        <v>5</v>
      </c>
    </row>
    <row r="102" spans="1:5" x14ac:dyDescent="0.3">
      <c r="A102" t="s">
        <v>605</v>
      </c>
      <c r="B102" t="s">
        <v>371</v>
      </c>
      <c r="C102" t="s">
        <v>327</v>
      </c>
      <c r="E102" t="s">
        <v>50</v>
      </c>
    </row>
    <row r="103" spans="1:5" x14ac:dyDescent="0.3">
      <c r="A103" t="s">
        <v>131</v>
      </c>
      <c r="D103" t="s">
        <v>349</v>
      </c>
      <c r="E103" t="s">
        <v>679</v>
      </c>
    </row>
    <row r="104" spans="1:5" x14ac:dyDescent="0.3">
      <c r="A104" t="s">
        <v>252</v>
      </c>
      <c r="D104" t="s">
        <v>13</v>
      </c>
      <c r="E104" t="s">
        <v>73</v>
      </c>
    </row>
    <row r="105" spans="1:5" x14ac:dyDescent="0.3">
      <c r="A105" t="s">
        <v>517</v>
      </c>
      <c r="D105" t="s">
        <v>230</v>
      </c>
      <c r="E105" t="s">
        <v>699</v>
      </c>
    </row>
    <row r="106" spans="1:5" x14ac:dyDescent="0.3">
      <c r="A106" t="s">
        <v>1</v>
      </c>
      <c r="D106" t="s">
        <v>420</v>
      </c>
      <c r="E106" t="s">
        <v>473</v>
      </c>
    </row>
    <row r="107" spans="1:5" x14ac:dyDescent="0.3">
      <c r="A107" t="s">
        <v>448</v>
      </c>
      <c r="B107" t="s">
        <v>460</v>
      </c>
      <c r="C107" t="s">
        <v>149</v>
      </c>
      <c r="D107" t="s">
        <v>107</v>
      </c>
      <c r="E107" t="s">
        <v>441</v>
      </c>
    </row>
    <row r="108" spans="1:5" x14ac:dyDescent="0.3">
      <c r="A108" t="s">
        <v>640</v>
      </c>
      <c r="D108" t="s">
        <v>219</v>
      </c>
      <c r="E108" t="s">
        <v>694</v>
      </c>
    </row>
    <row r="109" spans="1:5" x14ac:dyDescent="0.3">
      <c r="A109" t="s">
        <v>106</v>
      </c>
      <c r="B109" t="s">
        <v>371</v>
      </c>
      <c r="C109" t="s">
        <v>327</v>
      </c>
      <c r="D109" t="s">
        <v>584</v>
      </c>
      <c r="E109" t="s">
        <v>276</v>
      </c>
    </row>
    <row r="110" spans="1:5" x14ac:dyDescent="0.3">
      <c r="A110" t="s">
        <v>565</v>
      </c>
      <c r="B110" t="s">
        <v>82</v>
      </c>
      <c r="C110" t="s">
        <v>346</v>
      </c>
      <c r="D110" t="s">
        <v>372</v>
      </c>
      <c r="E110" t="s">
        <v>187</v>
      </c>
    </row>
    <row r="111" spans="1:5" x14ac:dyDescent="0.3">
      <c r="A111" t="s">
        <v>54</v>
      </c>
      <c r="B111" t="s">
        <v>371</v>
      </c>
      <c r="C111" t="s">
        <v>327</v>
      </c>
      <c r="D111" t="s">
        <v>84</v>
      </c>
      <c r="E111" t="s">
        <v>96</v>
      </c>
    </row>
    <row r="112" spans="1:5" x14ac:dyDescent="0.3">
      <c r="A112" t="s">
        <v>166</v>
      </c>
      <c r="B112" t="s">
        <v>122</v>
      </c>
      <c r="C112" t="s">
        <v>149</v>
      </c>
      <c r="D112" t="s">
        <v>682</v>
      </c>
      <c r="E112" t="s">
        <v>390</v>
      </c>
    </row>
    <row r="113" spans="1:5" x14ac:dyDescent="0.3">
      <c r="A113" t="s">
        <v>509</v>
      </c>
      <c r="B113" t="s">
        <v>122</v>
      </c>
      <c r="C113" t="s">
        <v>149</v>
      </c>
      <c r="E113" t="s">
        <v>0</v>
      </c>
    </row>
    <row r="114" spans="1:5" x14ac:dyDescent="0.3">
      <c r="A114" t="s">
        <v>132</v>
      </c>
      <c r="B114" t="s">
        <v>371</v>
      </c>
      <c r="C114" t="s">
        <v>327</v>
      </c>
      <c r="E114" t="s">
        <v>28</v>
      </c>
    </row>
    <row r="115" spans="1:5" x14ac:dyDescent="0.3">
      <c r="A115" t="s">
        <v>636</v>
      </c>
      <c r="B115" t="s">
        <v>122</v>
      </c>
      <c r="C115" t="s">
        <v>327</v>
      </c>
      <c r="E115" t="s">
        <v>456</v>
      </c>
    </row>
    <row r="116" spans="1:5" x14ac:dyDescent="0.3">
      <c r="A116" t="s">
        <v>534</v>
      </c>
      <c r="B116" t="s">
        <v>371</v>
      </c>
      <c r="C116" t="s">
        <v>327</v>
      </c>
      <c r="D116" t="s">
        <v>38</v>
      </c>
      <c r="E116" t="s">
        <v>159</v>
      </c>
    </row>
    <row r="117" spans="1:5" x14ac:dyDescent="0.3">
      <c r="A117" t="s">
        <v>666</v>
      </c>
      <c r="B117" t="s">
        <v>572</v>
      </c>
      <c r="C117" t="s">
        <v>149</v>
      </c>
      <c r="E117" t="s">
        <v>116</v>
      </c>
    </row>
    <row r="118" spans="1:5" x14ac:dyDescent="0.3">
      <c r="A118" t="s">
        <v>284</v>
      </c>
      <c r="B118" t="s">
        <v>122</v>
      </c>
      <c r="C118" t="s">
        <v>149</v>
      </c>
      <c r="E118" t="s">
        <v>544</v>
      </c>
    </row>
    <row r="119" spans="1:5" x14ac:dyDescent="0.3">
      <c r="A119" t="s">
        <v>535</v>
      </c>
      <c r="B119" t="s">
        <v>460</v>
      </c>
      <c r="C119" t="s">
        <v>327</v>
      </c>
      <c r="D119" t="s">
        <v>395</v>
      </c>
      <c r="E119" t="s">
        <v>696</v>
      </c>
    </row>
    <row r="120" spans="1:5" x14ac:dyDescent="0.3">
      <c r="A120" t="s">
        <v>265</v>
      </c>
      <c r="B120" t="s">
        <v>371</v>
      </c>
      <c r="C120" t="s">
        <v>149</v>
      </c>
      <c r="E120" t="s">
        <v>77</v>
      </c>
    </row>
    <row r="121" spans="1:5" x14ac:dyDescent="0.3">
      <c r="A121" t="s">
        <v>660</v>
      </c>
      <c r="B121" t="s">
        <v>286</v>
      </c>
      <c r="C121" t="s">
        <v>346</v>
      </c>
      <c r="D121" t="s">
        <v>646</v>
      </c>
      <c r="E121" t="s">
        <v>701</v>
      </c>
    </row>
    <row r="122" spans="1:5" x14ac:dyDescent="0.3">
      <c r="A122" t="s">
        <v>393</v>
      </c>
      <c r="B122" t="s">
        <v>371</v>
      </c>
      <c r="C122" t="s">
        <v>346</v>
      </c>
      <c r="E122" t="s">
        <v>439</v>
      </c>
    </row>
    <row r="123" spans="1:5" x14ac:dyDescent="0.3">
      <c r="A123" t="s">
        <v>673</v>
      </c>
      <c r="B123" t="s">
        <v>460</v>
      </c>
      <c r="C123" t="s">
        <v>346</v>
      </c>
      <c r="D123" t="s">
        <v>211</v>
      </c>
      <c r="E123" t="s">
        <v>639</v>
      </c>
    </row>
    <row r="124" spans="1:5" x14ac:dyDescent="0.3">
      <c r="A124" t="s">
        <v>497</v>
      </c>
      <c r="B124" t="s">
        <v>460</v>
      </c>
      <c r="C124" t="s">
        <v>346</v>
      </c>
      <c r="E124" t="s">
        <v>603</v>
      </c>
    </row>
    <row r="125" spans="1:5" x14ac:dyDescent="0.3">
      <c r="A125" t="s">
        <v>364</v>
      </c>
      <c r="B125" t="s">
        <v>572</v>
      </c>
      <c r="C125" t="s">
        <v>327</v>
      </c>
      <c r="E125" t="s">
        <v>151</v>
      </c>
    </row>
    <row r="126" spans="1:5" x14ac:dyDescent="0.3">
      <c r="A126" t="s">
        <v>632</v>
      </c>
      <c r="B126" t="s">
        <v>460</v>
      </c>
      <c r="C126" t="s">
        <v>327</v>
      </c>
      <c r="E126" t="s">
        <v>177</v>
      </c>
    </row>
    <row r="127" spans="1:5" x14ac:dyDescent="0.3">
      <c r="A127" t="s">
        <v>479</v>
      </c>
      <c r="B127" t="s">
        <v>122</v>
      </c>
      <c r="C127" t="s">
        <v>327</v>
      </c>
      <c r="E127" t="s">
        <v>689</v>
      </c>
    </row>
    <row r="128" spans="1:5" x14ac:dyDescent="0.3">
      <c r="A128" t="s">
        <v>492</v>
      </c>
      <c r="E128" t="s">
        <v>260</v>
      </c>
    </row>
    <row r="129" spans="1:5" x14ac:dyDescent="0.3">
      <c r="A129" t="s">
        <v>221</v>
      </c>
      <c r="B129" t="s">
        <v>460</v>
      </c>
      <c r="C129" t="s">
        <v>346</v>
      </c>
      <c r="D129" t="s">
        <v>218</v>
      </c>
      <c r="E129" t="s">
        <v>543</v>
      </c>
    </row>
    <row r="130" spans="1:5" x14ac:dyDescent="0.3">
      <c r="A130" t="s">
        <v>239</v>
      </c>
      <c r="B130" t="s">
        <v>122</v>
      </c>
      <c r="C130" t="s">
        <v>346</v>
      </c>
      <c r="D130" t="s">
        <v>450</v>
      </c>
      <c r="E130" t="s">
        <v>416</v>
      </c>
    </row>
    <row r="131" spans="1:5" x14ac:dyDescent="0.3">
      <c r="A131" t="s">
        <v>627</v>
      </c>
      <c r="B131" t="s">
        <v>286</v>
      </c>
      <c r="C131" t="s">
        <v>616</v>
      </c>
      <c r="D131" t="s">
        <v>185</v>
      </c>
      <c r="E131" t="s">
        <v>224</v>
      </c>
    </row>
    <row r="132" spans="1:5" x14ac:dyDescent="0.3">
      <c r="A132" t="s">
        <v>631</v>
      </c>
      <c r="B132" t="s">
        <v>122</v>
      </c>
      <c r="C132" t="s">
        <v>149</v>
      </c>
      <c r="E132" t="s">
        <v>524</v>
      </c>
    </row>
    <row r="133" spans="1:5" x14ac:dyDescent="0.3">
      <c r="A133" t="s">
        <v>355</v>
      </c>
      <c r="B133" t="s">
        <v>572</v>
      </c>
      <c r="C133" t="s">
        <v>149</v>
      </c>
      <c r="E133" t="s">
        <v>485</v>
      </c>
    </row>
    <row r="134" spans="1:5" x14ac:dyDescent="0.3">
      <c r="A134" t="s">
        <v>162</v>
      </c>
      <c r="E134" t="s">
        <v>572</v>
      </c>
    </row>
    <row r="135" spans="1:5" x14ac:dyDescent="0.3">
      <c r="A135" t="s">
        <v>558</v>
      </c>
      <c r="E135" t="s">
        <v>257</v>
      </c>
    </row>
    <row r="136" spans="1:5" ht="409.6" x14ac:dyDescent="0.3">
      <c r="A136" t="s">
        <v>63</v>
      </c>
      <c r="D136" s="1" t="s">
        <v>34</v>
      </c>
      <c r="E136" t="s">
        <v>616</v>
      </c>
    </row>
    <row r="137" spans="1:5" x14ac:dyDescent="0.3">
      <c r="A137" t="s">
        <v>330</v>
      </c>
      <c r="B137" t="s">
        <v>371</v>
      </c>
      <c r="C137" t="s">
        <v>327</v>
      </c>
      <c r="E137" t="s">
        <v>583</v>
      </c>
    </row>
    <row r="138" spans="1:5" x14ac:dyDescent="0.3">
      <c r="A138" t="s">
        <v>652</v>
      </c>
      <c r="B138" t="s">
        <v>82</v>
      </c>
      <c r="C138" t="s">
        <v>149</v>
      </c>
      <c r="E138" t="s">
        <v>3</v>
      </c>
    </row>
    <row r="139" spans="1:5" ht="409.6" x14ac:dyDescent="0.3">
      <c r="A139" t="s">
        <v>200</v>
      </c>
      <c r="D139" s="1" t="s">
        <v>34</v>
      </c>
      <c r="E139" t="s">
        <v>346</v>
      </c>
    </row>
    <row r="140" spans="1:5" ht="409.6" x14ac:dyDescent="0.3">
      <c r="A140" t="s">
        <v>279</v>
      </c>
      <c r="D140" s="1" t="s">
        <v>34</v>
      </c>
      <c r="E140" t="s">
        <v>302</v>
      </c>
    </row>
    <row r="141" spans="1:5" x14ac:dyDescent="0.3">
      <c r="A141" t="s">
        <v>235</v>
      </c>
      <c r="B141" t="s">
        <v>286</v>
      </c>
      <c r="C141" t="s">
        <v>346</v>
      </c>
      <c r="D141" t="s">
        <v>395</v>
      </c>
      <c r="E141" t="s">
        <v>472</v>
      </c>
    </row>
    <row r="142" spans="1:5" x14ac:dyDescent="0.3">
      <c r="A142" t="s">
        <v>687</v>
      </c>
      <c r="D142" t="s">
        <v>675</v>
      </c>
      <c r="E142" t="s">
        <v>386</v>
      </c>
    </row>
    <row r="143" spans="1:5" x14ac:dyDescent="0.3">
      <c r="A143" t="s">
        <v>104</v>
      </c>
      <c r="B143" t="s">
        <v>371</v>
      </c>
      <c r="C143" t="s">
        <v>327</v>
      </c>
      <c r="D143" t="s">
        <v>298</v>
      </c>
      <c r="E143" t="s">
        <v>394</v>
      </c>
    </row>
    <row r="144" spans="1:5" x14ac:dyDescent="0.3">
      <c r="A144" t="s">
        <v>515</v>
      </c>
      <c r="B144" t="s">
        <v>371</v>
      </c>
      <c r="C144" t="s">
        <v>327</v>
      </c>
      <c r="D144" t="s">
        <v>339</v>
      </c>
      <c r="E144" t="s">
        <v>274</v>
      </c>
    </row>
    <row r="145" spans="1:5" x14ac:dyDescent="0.3">
      <c r="A145" t="s">
        <v>440</v>
      </c>
      <c r="B145" t="s">
        <v>371</v>
      </c>
      <c r="C145" t="s">
        <v>327</v>
      </c>
      <c r="D145" t="s">
        <v>322</v>
      </c>
      <c r="E145" t="s">
        <v>251</v>
      </c>
    </row>
    <row r="146" spans="1:5" x14ac:dyDescent="0.3">
      <c r="A146" t="s">
        <v>280</v>
      </c>
      <c r="B146" t="s">
        <v>460</v>
      </c>
      <c r="C146" t="s">
        <v>327</v>
      </c>
      <c r="D146" t="s">
        <v>67</v>
      </c>
      <c r="E146" t="s">
        <v>547</v>
      </c>
    </row>
    <row r="147" spans="1:5" x14ac:dyDescent="0.3">
      <c r="A147" t="s">
        <v>444</v>
      </c>
      <c r="B147" t="s">
        <v>572</v>
      </c>
      <c r="C147" t="s">
        <v>327</v>
      </c>
      <c r="E147" t="s">
        <v>377</v>
      </c>
    </row>
    <row r="148" spans="1:5" x14ac:dyDescent="0.3">
      <c r="A148" t="s">
        <v>184</v>
      </c>
      <c r="B148" t="s">
        <v>122</v>
      </c>
      <c r="C148" t="s">
        <v>346</v>
      </c>
      <c r="E148" t="s">
        <v>36</v>
      </c>
    </row>
    <row r="149" spans="1:5" x14ac:dyDescent="0.3">
      <c r="A149" t="s">
        <v>6</v>
      </c>
      <c r="B149" t="s">
        <v>371</v>
      </c>
      <c r="C149" t="s">
        <v>327</v>
      </c>
      <c r="E149" t="s">
        <v>384</v>
      </c>
    </row>
    <row r="150" spans="1:5" x14ac:dyDescent="0.3">
      <c r="A150" t="s">
        <v>80</v>
      </c>
      <c r="B150" t="s">
        <v>371</v>
      </c>
      <c r="C150" t="s">
        <v>149</v>
      </c>
      <c r="D150" t="s">
        <v>358</v>
      </c>
      <c r="E150" t="s">
        <v>454</v>
      </c>
    </row>
    <row r="151" spans="1:5" x14ac:dyDescent="0.3">
      <c r="A151" t="s">
        <v>16</v>
      </c>
      <c r="B151" t="s">
        <v>286</v>
      </c>
      <c r="C151" t="s">
        <v>616</v>
      </c>
      <c r="E151" t="s">
        <v>397</v>
      </c>
    </row>
    <row r="152" spans="1:5" x14ac:dyDescent="0.3">
      <c r="A152" t="s">
        <v>88</v>
      </c>
      <c r="B152" t="s">
        <v>82</v>
      </c>
      <c r="C152" t="s">
        <v>149</v>
      </c>
      <c r="E152" t="s">
        <v>203</v>
      </c>
    </row>
    <row r="153" spans="1:5" x14ac:dyDescent="0.3">
      <c r="A153" t="s">
        <v>147</v>
      </c>
      <c r="D153" t="s">
        <v>181</v>
      </c>
      <c r="E153" t="s">
        <v>552</v>
      </c>
    </row>
    <row r="154" spans="1:5" x14ac:dyDescent="0.3">
      <c r="A154" t="s">
        <v>283</v>
      </c>
      <c r="B154" t="s">
        <v>572</v>
      </c>
      <c r="C154" t="s">
        <v>149</v>
      </c>
      <c r="E154" t="s">
        <v>222</v>
      </c>
    </row>
    <row r="155" spans="1:5" x14ac:dyDescent="0.3">
      <c r="A155" t="s">
        <v>609</v>
      </c>
      <c r="B155" t="s">
        <v>460</v>
      </c>
      <c r="C155" t="s">
        <v>149</v>
      </c>
      <c r="D155" t="s">
        <v>256</v>
      </c>
      <c r="E155" t="s">
        <v>671</v>
      </c>
    </row>
    <row r="156" spans="1:5" ht="409.6" x14ac:dyDescent="0.3">
      <c r="A156" t="s">
        <v>568</v>
      </c>
      <c r="D156" s="1" t="s">
        <v>34</v>
      </c>
      <c r="E156" t="s">
        <v>428</v>
      </c>
    </row>
    <row r="157" spans="1:5" x14ac:dyDescent="0.3">
      <c r="A157" t="s">
        <v>621</v>
      </c>
      <c r="B157" t="s">
        <v>371</v>
      </c>
      <c r="C157" t="s">
        <v>149</v>
      </c>
      <c r="E157" t="s">
        <v>112</v>
      </c>
    </row>
    <row r="158" spans="1:5" x14ac:dyDescent="0.3">
      <c r="A158" t="s">
        <v>580</v>
      </c>
      <c r="B158" t="s">
        <v>286</v>
      </c>
      <c r="C158" t="s">
        <v>616</v>
      </c>
      <c r="E158" t="s">
        <v>331</v>
      </c>
    </row>
    <row r="159" spans="1:5" x14ac:dyDescent="0.3">
      <c r="A159" t="s">
        <v>108</v>
      </c>
      <c r="B159" t="s">
        <v>122</v>
      </c>
      <c r="C159" t="s">
        <v>327</v>
      </c>
      <c r="D159" t="s">
        <v>198</v>
      </c>
      <c r="E159" t="s">
        <v>378</v>
      </c>
    </row>
    <row r="160" spans="1:5" ht="409.6" x14ac:dyDescent="0.3">
      <c r="A160" t="s">
        <v>62</v>
      </c>
      <c r="B160" t="s">
        <v>460</v>
      </c>
      <c r="C160" t="s">
        <v>346</v>
      </c>
      <c r="D160" s="1" t="s">
        <v>23</v>
      </c>
      <c r="E160" t="s">
        <v>403</v>
      </c>
    </row>
    <row r="161" spans="1:5" x14ac:dyDescent="0.3">
      <c r="A161" t="s">
        <v>522</v>
      </c>
      <c r="D161" t="s">
        <v>164</v>
      </c>
      <c r="E161" t="s">
        <v>626</v>
      </c>
    </row>
    <row r="162" spans="1:5" x14ac:dyDescent="0.3">
      <c r="A162" t="s">
        <v>180</v>
      </c>
      <c r="B162" t="s">
        <v>371</v>
      </c>
      <c r="C162" t="s">
        <v>149</v>
      </c>
      <c r="D162" t="s">
        <v>192</v>
      </c>
      <c r="E162" t="s">
        <v>383</v>
      </c>
    </row>
    <row r="163" spans="1:5" x14ac:dyDescent="0.3">
      <c r="A163" t="s">
        <v>451</v>
      </c>
      <c r="B163" t="s">
        <v>460</v>
      </c>
      <c r="C163" t="s">
        <v>149</v>
      </c>
      <c r="D163" t="s">
        <v>70</v>
      </c>
      <c r="E163" t="s">
        <v>376</v>
      </c>
    </row>
    <row r="164" spans="1:5" x14ac:dyDescent="0.3">
      <c r="A164" t="s">
        <v>581</v>
      </c>
      <c r="B164" t="s">
        <v>460</v>
      </c>
      <c r="C164" t="s">
        <v>327</v>
      </c>
      <c r="E164" t="s">
        <v>168</v>
      </c>
    </row>
    <row r="165" spans="1:5" x14ac:dyDescent="0.3">
      <c r="A165" t="s">
        <v>127</v>
      </c>
      <c r="B165" t="s">
        <v>286</v>
      </c>
      <c r="C165" t="s">
        <v>616</v>
      </c>
      <c r="E165" t="s">
        <v>574</v>
      </c>
    </row>
    <row r="166" spans="1:5" x14ac:dyDescent="0.3">
      <c r="A166" t="s">
        <v>389</v>
      </c>
      <c r="B166" t="s">
        <v>286</v>
      </c>
      <c r="C166" t="s">
        <v>346</v>
      </c>
      <c r="D166" t="s">
        <v>505</v>
      </c>
      <c r="E166" t="s">
        <v>55</v>
      </c>
    </row>
    <row r="167" spans="1:5" x14ac:dyDescent="0.3">
      <c r="A167" t="s">
        <v>399</v>
      </c>
      <c r="B167" t="s">
        <v>286</v>
      </c>
      <c r="C167" t="s">
        <v>149</v>
      </c>
      <c r="E167" t="s">
        <v>49</v>
      </c>
    </row>
    <row r="168" spans="1:5" x14ac:dyDescent="0.3">
      <c r="A168" t="s">
        <v>223</v>
      </c>
      <c r="B168" t="s">
        <v>286</v>
      </c>
      <c r="C168" t="s">
        <v>616</v>
      </c>
      <c r="E168" t="s">
        <v>513</v>
      </c>
    </row>
    <row r="169" spans="1:5" x14ac:dyDescent="0.3">
      <c r="A169" t="s">
        <v>557</v>
      </c>
      <c r="B169" t="s">
        <v>460</v>
      </c>
      <c r="C169" t="s">
        <v>149</v>
      </c>
      <c r="E169" t="s">
        <v>421</v>
      </c>
    </row>
    <row r="170" spans="1:5" x14ac:dyDescent="0.3">
      <c r="A170" t="s">
        <v>629</v>
      </c>
      <c r="D170" t="s">
        <v>342</v>
      </c>
      <c r="E170" t="s">
        <v>202</v>
      </c>
    </row>
    <row r="171" spans="1:5" x14ac:dyDescent="0.3">
      <c r="A171" t="s">
        <v>245</v>
      </c>
      <c r="B171" t="s">
        <v>286</v>
      </c>
      <c r="C171" t="s">
        <v>346</v>
      </c>
      <c r="D171" t="s">
        <v>395</v>
      </c>
      <c r="E171" t="s">
        <v>141</v>
      </c>
    </row>
    <row r="172" spans="1:5" x14ac:dyDescent="0.3">
      <c r="A172" t="s">
        <v>178</v>
      </c>
      <c r="B172" t="s">
        <v>460</v>
      </c>
      <c r="C172" t="s">
        <v>327</v>
      </c>
      <c r="E172" t="s">
        <v>688</v>
      </c>
    </row>
    <row r="173" spans="1:5" x14ac:dyDescent="0.3">
      <c r="A173" t="s">
        <v>128</v>
      </c>
      <c r="B173" t="s">
        <v>286</v>
      </c>
      <c r="C173" t="s">
        <v>616</v>
      </c>
      <c r="E173" t="s">
        <v>165</v>
      </c>
    </row>
    <row r="174" spans="1:5" x14ac:dyDescent="0.3">
      <c r="A174" t="s">
        <v>649</v>
      </c>
      <c r="B174" t="s">
        <v>286</v>
      </c>
      <c r="C174" t="s">
        <v>346</v>
      </c>
      <c r="D174" t="s">
        <v>425</v>
      </c>
      <c r="E174" t="s">
        <v>277</v>
      </c>
    </row>
    <row r="175" spans="1:5" x14ac:dyDescent="0.3">
      <c r="A175" t="s">
        <v>197</v>
      </c>
      <c r="B175" t="s">
        <v>572</v>
      </c>
      <c r="C175" t="s">
        <v>346</v>
      </c>
      <c r="D175" t="s">
        <v>47</v>
      </c>
      <c r="E175" t="s">
        <v>571</v>
      </c>
    </row>
    <row r="176" spans="1:5" x14ac:dyDescent="0.3">
      <c r="A176" t="s">
        <v>487</v>
      </c>
      <c r="B176" t="s">
        <v>371</v>
      </c>
      <c r="C176" t="s">
        <v>327</v>
      </c>
      <c r="D176" t="s">
        <v>506</v>
      </c>
      <c r="E176" t="s">
        <v>14</v>
      </c>
    </row>
    <row r="177" spans="1:5" x14ac:dyDescent="0.3">
      <c r="A177" t="s">
        <v>566</v>
      </c>
      <c r="B177" t="s">
        <v>371</v>
      </c>
      <c r="C177" t="s">
        <v>327</v>
      </c>
      <c r="E177" t="s">
        <v>644</v>
      </c>
    </row>
    <row r="178" spans="1:5" x14ac:dyDescent="0.3">
      <c r="A178" t="s">
        <v>685</v>
      </c>
      <c r="B178" t="s">
        <v>82</v>
      </c>
      <c r="C178" t="s">
        <v>346</v>
      </c>
      <c r="D178" t="s">
        <v>71</v>
      </c>
      <c r="E178" t="s">
        <v>193</v>
      </c>
    </row>
    <row r="179" spans="1:5" x14ac:dyDescent="0.3">
      <c r="A179" t="s">
        <v>246</v>
      </c>
      <c r="B179" t="s">
        <v>460</v>
      </c>
      <c r="C179" t="s">
        <v>327</v>
      </c>
      <c r="D179" t="s">
        <v>250</v>
      </c>
      <c r="E179" t="s">
        <v>591</v>
      </c>
    </row>
    <row r="180" spans="1:5" x14ac:dyDescent="0.3">
      <c r="A180" t="s">
        <v>268</v>
      </c>
      <c r="B180" t="s">
        <v>460</v>
      </c>
      <c r="C180" t="s">
        <v>327</v>
      </c>
      <c r="D180" t="s">
        <v>395</v>
      </c>
      <c r="E180" t="s">
        <v>530</v>
      </c>
    </row>
    <row r="181" spans="1:5" x14ac:dyDescent="0.3">
      <c r="A181" t="s">
        <v>620</v>
      </c>
      <c r="E181" t="s">
        <v>318</v>
      </c>
    </row>
    <row r="182" spans="1:5" x14ac:dyDescent="0.3">
      <c r="A182" t="s">
        <v>536</v>
      </c>
      <c r="B182" t="s">
        <v>122</v>
      </c>
      <c r="C182" t="s">
        <v>327</v>
      </c>
      <c r="E182" t="s">
        <v>661</v>
      </c>
    </row>
    <row r="183" spans="1:5" x14ac:dyDescent="0.3">
      <c r="A183" t="s">
        <v>391</v>
      </c>
      <c r="D183" t="s">
        <v>642</v>
      </c>
      <c r="E183" t="s">
        <v>659</v>
      </c>
    </row>
    <row r="184" spans="1:5" x14ac:dyDescent="0.3">
      <c r="A184" t="s">
        <v>123</v>
      </c>
      <c r="B184" t="s">
        <v>122</v>
      </c>
      <c r="C184" t="s">
        <v>346</v>
      </c>
      <c r="D184" t="s">
        <v>250</v>
      </c>
      <c r="E184" t="s">
        <v>702</v>
      </c>
    </row>
    <row r="185" spans="1:5" x14ac:dyDescent="0.3">
      <c r="A185" t="s">
        <v>434</v>
      </c>
      <c r="B185" t="s">
        <v>572</v>
      </c>
      <c r="C185" t="s">
        <v>327</v>
      </c>
      <c r="E185" t="s">
        <v>511</v>
      </c>
    </row>
    <row r="186" spans="1:5" x14ac:dyDescent="0.3">
      <c r="A186" t="s">
        <v>269</v>
      </c>
      <c r="B186" t="s">
        <v>572</v>
      </c>
      <c r="C186" t="s">
        <v>149</v>
      </c>
      <c r="D186" t="s">
        <v>691</v>
      </c>
      <c r="E186" t="s">
        <v>465</v>
      </c>
    </row>
    <row r="187" spans="1:5" x14ac:dyDescent="0.3">
      <c r="A187" t="s">
        <v>549</v>
      </c>
      <c r="B187" t="s">
        <v>460</v>
      </c>
      <c r="C187" t="s">
        <v>149</v>
      </c>
      <c r="E187" t="s">
        <v>258</v>
      </c>
    </row>
    <row r="188" spans="1:5" x14ac:dyDescent="0.3">
      <c r="A188" t="s">
        <v>356</v>
      </c>
      <c r="B188" t="s">
        <v>460</v>
      </c>
      <c r="C188" t="s">
        <v>327</v>
      </c>
      <c r="D188" t="s">
        <v>256</v>
      </c>
      <c r="E188" t="s">
        <v>643</v>
      </c>
    </row>
    <row r="189" spans="1:5" x14ac:dyDescent="0.3">
      <c r="A189" t="s">
        <v>237</v>
      </c>
      <c r="B189" t="s">
        <v>460</v>
      </c>
      <c r="C189" t="s">
        <v>346</v>
      </c>
      <c r="E189" t="s">
        <v>423</v>
      </c>
    </row>
    <row r="190" spans="1:5" x14ac:dyDescent="0.3">
      <c r="A190" t="s">
        <v>41</v>
      </c>
      <c r="B190" t="s">
        <v>371</v>
      </c>
      <c r="C190" t="s">
        <v>327</v>
      </c>
      <c r="E190" t="s">
        <v>68</v>
      </c>
    </row>
    <row r="191" spans="1:5" x14ac:dyDescent="0.3">
      <c r="A191" t="s">
        <v>267</v>
      </c>
      <c r="D191" t="s">
        <v>4</v>
      </c>
      <c r="E191" t="s">
        <v>213</v>
      </c>
    </row>
    <row r="192" spans="1:5" x14ac:dyDescent="0.3">
      <c r="A192" t="s">
        <v>650</v>
      </c>
      <c r="B192" t="s">
        <v>572</v>
      </c>
      <c r="C192" t="s">
        <v>327</v>
      </c>
      <c r="D192" t="s">
        <v>575</v>
      </c>
      <c r="E192" t="s">
        <v>244</v>
      </c>
    </row>
    <row r="193" spans="1:5" x14ac:dyDescent="0.3">
      <c r="A193" t="s">
        <v>56</v>
      </c>
      <c r="B193" t="s">
        <v>460</v>
      </c>
      <c r="C193" t="s">
        <v>616</v>
      </c>
      <c r="E193" t="s">
        <v>495</v>
      </c>
    </row>
    <row r="194" spans="1:5" x14ac:dyDescent="0.3">
      <c r="A194" t="s">
        <v>175</v>
      </c>
      <c r="B194" t="s">
        <v>371</v>
      </c>
      <c r="C194" t="s">
        <v>327</v>
      </c>
      <c r="D194" t="s">
        <v>422</v>
      </c>
      <c r="E194" t="s">
        <v>404</v>
      </c>
    </row>
    <row r="195" spans="1:5" x14ac:dyDescent="0.3">
      <c r="A195" t="s">
        <v>65</v>
      </c>
      <c r="B195" t="s">
        <v>572</v>
      </c>
      <c r="C195" t="s">
        <v>149</v>
      </c>
      <c r="D195" t="s">
        <v>136</v>
      </c>
      <c r="E195" t="s">
        <v>464</v>
      </c>
    </row>
    <row r="196" spans="1:5" x14ac:dyDescent="0.3">
      <c r="A196" t="s">
        <v>179</v>
      </c>
      <c r="B196" t="s">
        <v>122</v>
      </c>
      <c r="C196" t="s">
        <v>346</v>
      </c>
      <c r="D196" t="s">
        <v>185</v>
      </c>
      <c r="E196" t="s">
        <v>79</v>
      </c>
    </row>
    <row r="197" spans="1:5" x14ac:dyDescent="0.3">
      <c r="A197" t="s">
        <v>188</v>
      </c>
      <c r="D197" t="s">
        <v>99</v>
      </c>
      <c r="E197" t="s">
        <v>120</v>
      </c>
    </row>
    <row r="198" spans="1:5" x14ac:dyDescent="0.3">
      <c r="A198" t="s">
        <v>254</v>
      </c>
      <c r="D198" t="s">
        <v>270</v>
      </c>
      <c r="E198" t="s">
        <v>561</v>
      </c>
    </row>
    <row r="199" spans="1:5" x14ac:dyDescent="0.3">
      <c r="A199" t="s">
        <v>546</v>
      </c>
      <c r="B199" t="s">
        <v>460</v>
      </c>
      <c r="C199" t="s">
        <v>327</v>
      </c>
      <c r="E199" t="s">
        <v>337</v>
      </c>
    </row>
    <row r="200" spans="1:5" x14ac:dyDescent="0.3">
      <c r="A200" t="s">
        <v>24</v>
      </c>
      <c r="B200" t="s">
        <v>122</v>
      </c>
      <c r="C200" t="s">
        <v>327</v>
      </c>
      <c r="E200" t="s">
        <v>582</v>
      </c>
    </row>
    <row r="201" spans="1:5" x14ac:dyDescent="0.3">
      <c r="A201" t="s">
        <v>305</v>
      </c>
      <c r="B201" t="s">
        <v>371</v>
      </c>
      <c r="C201" t="s">
        <v>327</v>
      </c>
      <c r="D201" t="s">
        <v>674</v>
      </c>
      <c r="E201" t="s">
        <v>523</v>
      </c>
    </row>
    <row r="202" spans="1:5" x14ac:dyDescent="0.3">
      <c r="A202" t="s">
        <v>329</v>
      </c>
      <c r="B202" t="s">
        <v>371</v>
      </c>
      <c r="C202" t="s">
        <v>327</v>
      </c>
      <c r="E202" t="s">
        <v>2</v>
      </c>
    </row>
    <row r="203" spans="1:5" x14ac:dyDescent="0.3">
      <c r="A203" t="s">
        <v>86</v>
      </c>
      <c r="B203" t="s">
        <v>286</v>
      </c>
      <c r="C203" t="s">
        <v>616</v>
      </c>
      <c r="E203" t="s">
        <v>247</v>
      </c>
    </row>
    <row r="204" spans="1:5" x14ac:dyDescent="0.3">
      <c r="A204" t="s">
        <v>115</v>
      </c>
      <c r="D204" t="s">
        <v>35</v>
      </c>
      <c r="E204" t="s">
        <v>82</v>
      </c>
    </row>
    <row r="205" spans="1:5" x14ac:dyDescent="0.3">
      <c r="A205" t="s">
        <v>225</v>
      </c>
      <c r="B205" t="s">
        <v>122</v>
      </c>
      <c r="C205" t="s">
        <v>327</v>
      </c>
      <c r="E205" t="s">
        <v>449</v>
      </c>
    </row>
    <row r="206" spans="1:5" x14ac:dyDescent="0.3">
      <c r="A206" t="s">
        <v>435</v>
      </c>
      <c r="B206" t="s">
        <v>286</v>
      </c>
      <c r="C206" t="s">
        <v>616</v>
      </c>
      <c r="D206" t="s">
        <v>408</v>
      </c>
      <c r="E206" t="s">
        <v>207</v>
      </c>
    </row>
    <row r="207" spans="1:5" x14ac:dyDescent="0.3">
      <c r="A207" t="s">
        <v>529</v>
      </c>
      <c r="B207" t="s">
        <v>286</v>
      </c>
      <c r="C207" t="s">
        <v>346</v>
      </c>
      <c r="E207" t="s">
        <v>33</v>
      </c>
    </row>
    <row r="208" spans="1:5" x14ac:dyDescent="0.3">
      <c r="A208" t="s">
        <v>76</v>
      </c>
      <c r="B208" t="s">
        <v>460</v>
      </c>
      <c r="C208" t="s">
        <v>327</v>
      </c>
      <c r="D208" t="s">
        <v>395</v>
      </c>
      <c r="E208" t="s">
        <v>478</v>
      </c>
    </row>
    <row r="209" spans="1:5" x14ac:dyDescent="0.3">
      <c r="A209" t="s">
        <v>289</v>
      </c>
      <c r="B209" t="s">
        <v>460</v>
      </c>
      <c r="C209" t="s">
        <v>346</v>
      </c>
      <c r="E209" t="s">
        <v>92</v>
      </c>
    </row>
    <row r="210" spans="1:5" x14ac:dyDescent="0.3">
      <c r="A210" t="s">
        <v>611</v>
      </c>
      <c r="B210" t="s">
        <v>286</v>
      </c>
      <c r="C210" t="s">
        <v>616</v>
      </c>
      <c r="E210" t="s">
        <v>667</v>
      </c>
    </row>
    <row r="211" spans="1:5" x14ac:dyDescent="0.3">
      <c r="A211" t="s">
        <v>87</v>
      </c>
      <c r="B211" t="s">
        <v>572</v>
      </c>
      <c r="C211" t="s">
        <v>149</v>
      </c>
      <c r="E211" t="s">
        <v>542</v>
      </c>
    </row>
    <row r="212" spans="1:5" x14ac:dyDescent="0.3">
      <c r="A212" t="s">
        <v>489</v>
      </c>
      <c r="B212" t="s">
        <v>371</v>
      </c>
      <c r="C212" t="s">
        <v>327</v>
      </c>
      <c r="E212" t="s">
        <v>427</v>
      </c>
    </row>
    <row r="213" spans="1:5" x14ac:dyDescent="0.3">
      <c r="A213" t="s">
        <v>31</v>
      </c>
      <c r="B213" t="s">
        <v>286</v>
      </c>
      <c r="C213" t="s">
        <v>616</v>
      </c>
      <c r="D213" t="s">
        <v>698</v>
      </c>
      <c r="E213" t="s">
        <v>326</v>
      </c>
    </row>
    <row r="214" spans="1:5" x14ac:dyDescent="0.3">
      <c r="A214" t="s">
        <v>415</v>
      </c>
      <c r="B214" t="s">
        <v>371</v>
      </c>
      <c r="C214" t="s">
        <v>149</v>
      </c>
      <c r="D214" t="s">
        <v>508</v>
      </c>
      <c r="E214" t="s">
        <v>294</v>
      </c>
    </row>
    <row r="215" spans="1:5" x14ac:dyDescent="0.3">
      <c r="A215" t="s">
        <v>430</v>
      </c>
      <c r="E215" t="s">
        <v>57</v>
      </c>
    </row>
    <row r="216" spans="1:5" x14ac:dyDescent="0.3">
      <c r="A216" t="s">
        <v>59</v>
      </c>
      <c r="B216" t="s">
        <v>286</v>
      </c>
      <c r="C216" t="s">
        <v>616</v>
      </c>
      <c r="D216" t="s">
        <v>250</v>
      </c>
      <c r="E216" t="s">
        <v>261</v>
      </c>
    </row>
    <row r="217" spans="1:5" x14ac:dyDescent="0.3">
      <c r="A217" t="s">
        <v>170</v>
      </c>
      <c r="D217" t="s">
        <v>354</v>
      </c>
      <c r="E217" t="s">
        <v>286</v>
      </c>
    </row>
    <row r="218" spans="1:5" x14ac:dyDescent="0.3">
      <c r="A218" t="s">
        <v>176</v>
      </c>
      <c r="D218" t="s">
        <v>103</v>
      </c>
      <c r="E218" t="s">
        <v>42</v>
      </c>
    </row>
    <row r="219" spans="1:5" x14ac:dyDescent="0.3">
      <c r="A219" t="s">
        <v>418</v>
      </c>
      <c r="B219" t="s">
        <v>286</v>
      </c>
      <c r="C219" t="s">
        <v>346</v>
      </c>
      <c r="D219" t="s">
        <v>569</v>
      </c>
      <c r="E219" t="s">
        <v>401</v>
      </c>
    </row>
    <row r="220" spans="1:5" x14ac:dyDescent="0.3">
      <c r="A220" t="s">
        <v>61</v>
      </c>
      <c r="B220" t="s">
        <v>572</v>
      </c>
      <c r="C220" t="s">
        <v>149</v>
      </c>
      <c r="D220" t="s">
        <v>148</v>
      </c>
      <c r="E220" t="s">
        <v>482</v>
      </c>
    </row>
    <row r="221" spans="1:5" x14ac:dyDescent="0.3">
      <c r="A221" t="s">
        <v>137</v>
      </c>
      <c r="B221" t="s">
        <v>371</v>
      </c>
      <c r="C221" t="s">
        <v>327</v>
      </c>
      <c r="D221" t="s">
        <v>592</v>
      </c>
      <c r="E221" t="s">
        <v>359</v>
      </c>
    </row>
    <row r="222" spans="1:5" x14ac:dyDescent="0.3">
      <c r="A222" t="s">
        <v>307</v>
      </c>
      <c r="B222" t="s">
        <v>371</v>
      </c>
      <c r="C222" t="s">
        <v>327</v>
      </c>
      <c r="D222" t="s">
        <v>400</v>
      </c>
      <c r="E222" t="s">
        <v>350</v>
      </c>
    </row>
    <row r="223" spans="1:5" x14ac:dyDescent="0.3">
      <c r="A223" t="s">
        <v>264</v>
      </c>
      <c r="B223" t="s">
        <v>371</v>
      </c>
      <c r="C223" t="s">
        <v>327</v>
      </c>
      <c r="D223" t="s">
        <v>646</v>
      </c>
      <c r="E223" t="s">
        <v>66</v>
      </c>
    </row>
    <row r="224" spans="1:5" x14ac:dyDescent="0.3">
      <c r="A224" t="s">
        <v>125</v>
      </c>
      <c r="B224" t="s">
        <v>286</v>
      </c>
      <c r="C224" t="s">
        <v>346</v>
      </c>
      <c r="D224" t="s">
        <v>313</v>
      </c>
      <c r="E224" t="s">
        <v>623</v>
      </c>
    </row>
    <row r="225" spans="1:5" x14ac:dyDescent="0.3">
      <c r="A225" t="s">
        <v>388</v>
      </c>
      <c r="B225" t="s">
        <v>572</v>
      </c>
      <c r="C225" t="s">
        <v>327</v>
      </c>
      <c r="E225" t="s">
        <v>341</v>
      </c>
    </row>
    <row r="226" spans="1:5" x14ac:dyDescent="0.3">
      <c r="A226" t="s">
        <v>140</v>
      </c>
      <c r="B226" t="s">
        <v>286</v>
      </c>
      <c r="C226" t="s">
        <v>327</v>
      </c>
      <c r="E226" t="s">
        <v>474</v>
      </c>
    </row>
    <row r="227" spans="1:5" x14ac:dyDescent="0.3">
      <c r="A227" t="s">
        <v>199</v>
      </c>
      <c r="B227" t="s">
        <v>122</v>
      </c>
      <c r="C227" t="s">
        <v>616</v>
      </c>
      <c r="D227" t="s">
        <v>309</v>
      </c>
      <c r="E227" t="s">
        <v>163</v>
      </c>
    </row>
    <row r="228" spans="1:5" x14ac:dyDescent="0.3">
      <c r="A228" t="s">
        <v>209</v>
      </c>
      <c r="B228" t="s">
        <v>572</v>
      </c>
      <c r="C228" t="s">
        <v>327</v>
      </c>
      <c r="E228" t="s">
        <v>113</v>
      </c>
    </row>
    <row r="229" spans="1:5" x14ac:dyDescent="0.3">
      <c r="A229" t="s">
        <v>551</v>
      </c>
      <c r="B229" t="s">
        <v>286</v>
      </c>
      <c r="C229" t="s">
        <v>616</v>
      </c>
      <c r="E229" t="s">
        <v>577</v>
      </c>
    </row>
    <row r="230" spans="1:5" x14ac:dyDescent="0.3">
      <c r="A230" t="s">
        <v>351</v>
      </c>
      <c r="D230" t="s">
        <v>290</v>
      </c>
      <c r="E230" t="s">
        <v>10</v>
      </c>
    </row>
    <row r="231" spans="1:5" x14ac:dyDescent="0.3">
      <c r="A231" t="s">
        <v>483</v>
      </c>
      <c r="D231" t="s">
        <v>173</v>
      </c>
      <c r="E231" t="s">
        <v>196</v>
      </c>
    </row>
    <row r="232" spans="1:5" x14ac:dyDescent="0.3">
      <c r="A232" t="s">
        <v>360</v>
      </c>
      <c r="B232" t="s">
        <v>286</v>
      </c>
      <c r="C232" t="s">
        <v>346</v>
      </c>
      <c r="E232" t="s">
        <v>236</v>
      </c>
    </row>
    <row r="233" spans="1:5" x14ac:dyDescent="0.3">
      <c r="A233" t="s">
        <v>419</v>
      </c>
      <c r="B233" t="s">
        <v>460</v>
      </c>
      <c r="C233" t="s">
        <v>149</v>
      </c>
      <c r="D233" t="s">
        <v>300</v>
      </c>
      <c r="E233" t="s">
        <v>526</v>
      </c>
    </row>
    <row r="234" spans="1:5" x14ac:dyDescent="0.3">
      <c r="A234" t="s">
        <v>46</v>
      </c>
      <c r="B234" t="s">
        <v>371</v>
      </c>
      <c r="C234" t="s">
        <v>346</v>
      </c>
      <c r="E234" t="s">
        <v>44</v>
      </c>
    </row>
    <row r="235" spans="1:5" x14ac:dyDescent="0.3">
      <c r="A235" t="s">
        <v>242</v>
      </c>
      <c r="B235" t="s">
        <v>371</v>
      </c>
      <c r="C235" t="s">
        <v>149</v>
      </c>
      <c r="D235" t="s">
        <v>155</v>
      </c>
      <c r="E235" t="s">
        <v>494</v>
      </c>
    </row>
    <row r="236" spans="1:5" x14ac:dyDescent="0.3">
      <c r="A236" t="s">
        <v>579</v>
      </c>
      <c r="D236" t="s">
        <v>431</v>
      </c>
      <c r="E236" t="s">
        <v>287</v>
      </c>
    </row>
    <row r="237" spans="1:5" x14ac:dyDescent="0.3">
      <c r="A237" t="s">
        <v>262</v>
      </c>
      <c r="B237" t="s">
        <v>460</v>
      </c>
      <c r="C237" t="s">
        <v>346</v>
      </c>
      <c r="E237" t="s">
        <v>638</v>
      </c>
    </row>
    <row r="238" spans="1:5" x14ac:dyDescent="0.3">
      <c r="A238" t="s">
        <v>438</v>
      </c>
      <c r="D238" t="s">
        <v>117</v>
      </c>
      <c r="E238" t="s">
        <v>681</v>
      </c>
    </row>
    <row r="239" spans="1:5" x14ac:dyDescent="0.3">
      <c r="A239" t="s">
        <v>593</v>
      </c>
      <c r="B239" t="s">
        <v>460</v>
      </c>
      <c r="C239" t="s">
        <v>149</v>
      </c>
      <c r="D239" t="s">
        <v>250</v>
      </c>
      <c r="E239" t="s">
        <v>613</v>
      </c>
    </row>
    <row r="240" spans="1:5" x14ac:dyDescent="0.3">
      <c r="A240" t="s">
        <v>83</v>
      </c>
      <c r="D240" t="s">
        <v>570</v>
      </c>
      <c r="E240" t="s">
        <v>8</v>
      </c>
    </row>
    <row r="241" spans="1:5" x14ac:dyDescent="0.3">
      <c r="A241" t="s">
        <v>475</v>
      </c>
      <c r="D241" t="s">
        <v>385</v>
      </c>
      <c r="E241" t="s">
        <v>19</v>
      </c>
    </row>
    <row r="242" spans="1:5" x14ac:dyDescent="0.3">
      <c r="A242" t="s">
        <v>160</v>
      </c>
      <c r="B242" t="s">
        <v>572</v>
      </c>
      <c r="C242" t="s">
        <v>327</v>
      </c>
      <c r="E242" t="s">
        <v>630</v>
      </c>
    </row>
    <row r="243" spans="1:5" x14ac:dyDescent="0.3">
      <c r="A243" t="s">
        <v>20</v>
      </c>
      <c r="B243" t="s">
        <v>122</v>
      </c>
      <c r="C243" t="s">
        <v>346</v>
      </c>
      <c r="E243" t="s">
        <v>191</v>
      </c>
    </row>
    <row r="244" spans="1:5" x14ac:dyDescent="0.3">
      <c r="A244" t="s">
        <v>402</v>
      </c>
      <c r="B244" t="s">
        <v>371</v>
      </c>
      <c r="C244" t="s">
        <v>149</v>
      </c>
      <c r="D244" t="s">
        <v>424</v>
      </c>
      <c r="E244" t="s">
        <v>599</v>
      </c>
    </row>
    <row r="245" spans="1:5" x14ac:dyDescent="0.3">
      <c r="A245" t="s">
        <v>89</v>
      </c>
      <c r="B245" t="s">
        <v>460</v>
      </c>
      <c r="C245" t="s">
        <v>149</v>
      </c>
      <c r="E245" t="s">
        <v>413</v>
      </c>
    </row>
    <row r="246" spans="1:5" x14ac:dyDescent="0.3">
      <c r="A246" t="s">
        <v>436</v>
      </c>
      <c r="B246" t="s">
        <v>286</v>
      </c>
      <c r="C246" t="s">
        <v>346</v>
      </c>
      <c r="E246" t="s">
        <v>538</v>
      </c>
    </row>
    <row r="247" spans="1:5" x14ac:dyDescent="0.3">
      <c r="A247" t="s">
        <v>145</v>
      </c>
      <c r="B247" t="s">
        <v>286</v>
      </c>
      <c r="C247" t="s">
        <v>616</v>
      </c>
      <c r="D247" t="s">
        <v>663</v>
      </c>
      <c r="E247" t="s">
        <v>658</v>
      </c>
    </row>
    <row r="248" spans="1:5" x14ac:dyDescent="0.3">
      <c r="A248" t="s">
        <v>480</v>
      </c>
      <c r="B248" t="s">
        <v>371</v>
      </c>
      <c r="C248" t="s">
        <v>149</v>
      </c>
      <c r="E248" t="s">
        <v>411</v>
      </c>
    </row>
    <row r="249" spans="1:5" ht="409.6" x14ac:dyDescent="0.3">
      <c r="A249" t="s">
        <v>563</v>
      </c>
      <c r="D249" s="1" t="s">
        <v>34</v>
      </c>
      <c r="E249" t="s">
        <v>149</v>
      </c>
    </row>
    <row r="250" spans="1:5" x14ac:dyDescent="0.3">
      <c r="A250" t="s">
        <v>693</v>
      </c>
      <c r="B250" t="s">
        <v>572</v>
      </c>
      <c r="C250" t="s">
        <v>327</v>
      </c>
      <c r="D250" t="s">
        <v>608</v>
      </c>
      <c r="E250" t="s">
        <v>502</v>
      </c>
    </row>
    <row r="251" spans="1:5" x14ac:dyDescent="0.3">
      <c r="A251" t="s">
        <v>585</v>
      </c>
      <c r="B251" t="s">
        <v>202</v>
      </c>
      <c r="C251" t="s">
        <v>327</v>
      </c>
      <c r="E251" t="s">
        <v>379</v>
      </c>
    </row>
    <row r="252" spans="1:5" x14ac:dyDescent="0.3">
      <c r="A252" t="s">
        <v>142</v>
      </c>
      <c r="B252" t="s">
        <v>371</v>
      </c>
      <c r="C252" t="s">
        <v>346</v>
      </c>
      <c r="E252" t="s">
        <v>288</v>
      </c>
    </row>
    <row r="253" spans="1:5" x14ac:dyDescent="0.3">
      <c r="A253" t="s">
        <v>95</v>
      </c>
      <c r="B253" t="s">
        <v>572</v>
      </c>
      <c r="C253" t="s">
        <v>149</v>
      </c>
      <c r="E253" t="s">
        <v>52</v>
      </c>
    </row>
    <row r="254" spans="1:5" x14ac:dyDescent="0.3">
      <c r="A254" t="s">
        <v>297</v>
      </c>
      <c r="B254" t="s">
        <v>572</v>
      </c>
      <c r="C254" t="s">
        <v>346</v>
      </c>
      <c r="D254" t="s">
        <v>374</v>
      </c>
      <c r="E254" t="s">
        <v>74</v>
      </c>
    </row>
    <row r="255" spans="1:5" x14ac:dyDescent="0.3">
      <c r="A255" t="s">
        <v>564</v>
      </c>
      <c r="B255" t="s">
        <v>572</v>
      </c>
      <c r="C255" t="s">
        <v>327</v>
      </c>
      <c r="E255" t="s">
        <v>304</v>
      </c>
    </row>
    <row r="256" spans="1:5" x14ac:dyDescent="0.3">
      <c r="A256" t="s">
        <v>124</v>
      </c>
      <c r="B256" t="s">
        <v>572</v>
      </c>
      <c r="C256" t="s">
        <v>327</v>
      </c>
      <c r="E256" t="s">
        <v>500</v>
      </c>
    </row>
    <row r="257" spans="1:5" x14ac:dyDescent="0.3">
      <c r="A257" t="s">
        <v>604</v>
      </c>
      <c r="B257" t="s">
        <v>460</v>
      </c>
      <c r="C257" t="s">
        <v>149</v>
      </c>
      <c r="E257" t="s">
        <v>370</v>
      </c>
    </row>
    <row r="258" spans="1:5" x14ac:dyDescent="0.3">
      <c r="A258" t="s">
        <v>114</v>
      </c>
      <c r="B258" t="s">
        <v>460</v>
      </c>
      <c r="C258" t="s">
        <v>346</v>
      </c>
      <c r="E258" t="s">
        <v>602</v>
      </c>
    </row>
    <row r="259" spans="1:5" x14ac:dyDescent="0.3">
      <c r="A259" t="s">
        <v>680</v>
      </c>
      <c r="E259" t="s">
        <v>560</v>
      </c>
    </row>
    <row r="260" spans="1:5" x14ac:dyDescent="0.3">
      <c r="A260" t="s">
        <v>461</v>
      </c>
      <c r="B260" t="s">
        <v>460</v>
      </c>
      <c r="C260" t="s">
        <v>149</v>
      </c>
      <c r="D260" t="s">
        <v>250</v>
      </c>
      <c r="E260" t="s">
        <v>169</v>
      </c>
    </row>
    <row r="261" spans="1:5" x14ac:dyDescent="0.3">
      <c r="A261" t="s">
        <v>195</v>
      </c>
      <c r="B261" t="s">
        <v>371</v>
      </c>
      <c r="C261" t="s">
        <v>149</v>
      </c>
      <c r="E261" t="s">
        <v>412</v>
      </c>
    </row>
    <row r="262" spans="1:5" x14ac:dyDescent="0.3">
      <c r="A262" t="s">
        <v>15</v>
      </c>
      <c r="B262" t="s">
        <v>122</v>
      </c>
      <c r="C262" t="s">
        <v>616</v>
      </c>
      <c r="D262" t="s">
        <v>677</v>
      </c>
      <c r="E262" t="s">
        <v>664</v>
      </c>
    </row>
    <row r="263" spans="1:5" x14ac:dyDescent="0.3">
      <c r="A263" t="s">
        <v>368</v>
      </c>
      <c r="B263" t="s">
        <v>286</v>
      </c>
      <c r="C263" t="s">
        <v>149</v>
      </c>
      <c r="D263" t="s">
        <v>395</v>
      </c>
      <c r="E263" t="s">
        <v>463</v>
      </c>
    </row>
    <row r="264" spans="1:5" x14ac:dyDescent="0.3">
      <c r="A264" t="s">
        <v>407</v>
      </c>
      <c r="B264" t="s">
        <v>286</v>
      </c>
      <c r="C264" t="s">
        <v>346</v>
      </c>
      <c r="D264" t="s">
        <v>467</v>
      </c>
      <c r="E264" t="s">
        <v>9</v>
      </c>
    </row>
    <row r="265" spans="1:5" ht="409.6" x14ac:dyDescent="0.3">
      <c r="A265" t="s">
        <v>324</v>
      </c>
      <c r="B265" t="s">
        <v>286</v>
      </c>
      <c r="C265" t="s">
        <v>346</v>
      </c>
      <c r="D265" s="1" t="s">
        <v>27</v>
      </c>
      <c r="E265" t="s">
        <v>703</v>
      </c>
    </row>
  </sheetData>
  <pageMargins left="0.7" right="0.7" top="0.75" bottom="0.75"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18C1-5E06-4F1A-8EA9-6AC6404653FE}">
  <dimension ref="A1:D2"/>
  <sheetViews>
    <sheetView workbookViewId="0"/>
  </sheetViews>
  <sheetFormatPr defaultRowHeight="14.4" x14ac:dyDescent="0.3"/>
  <cols>
    <col min="1" max="1" width="15.5546875" bestFit="1" customWidth="1"/>
    <col min="2" max="2" width="31.109375" bestFit="1" customWidth="1"/>
    <col min="3" max="3" width="136" bestFit="1" customWidth="1"/>
    <col min="4" max="4" width="233.77734375" bestFit="1" customWidth="1"/>
  </cols>
  <sheetData>
    <row r="1" spans="1:4" x14ac:dyDescent="0.3">
      <c r="A1" t="s">
        <v>204</v>
      </c>
      <c r="B1" t="s">
        <v>590</v>
      </c>
      <c r="C1" t="s">
        <v>375</v>
      </c>
      <c r="D1" t="s">
        <v>214</v>
      </c>
    </row>
    <row r="2" spans="1:4" x14ac:dyDescent="0.3">
      <c r="A2" t="s">
        <v>686</v>
      </c>
      <c r="B2" t="s">
        <v>519</v>
      </c>
      <c r="C2" t="s">
        <v>296</v>
      </c>
      <c r="D2" t="s">
        <v>310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clean data</vt:lpstr>
      <vt:lpstr>Sheet1</vt:lpstr>
      <vt:lpstr>Sheet3</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Nagaraju</dc:creator>
  <cp:lastModifiedBy>v Nagaraju</cp:lastModifiedBy>
  <dcterms:created xsi:type="dcterms:W3CDTF">2026-08-21T08:03:47Z</dcterms:created>
  <dcterms:modified xsi:type="dcterms:W3CDTF">2026-08-21T08:07:50Z</dcterms:modified>
</cp:coreProperties>
</file>